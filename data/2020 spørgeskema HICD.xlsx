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18"/>
  <workbookPr/>
  <mc:AlternateContent xmlns:mc="http://schemas.openxmlformats.org/markup-compatibility/2006">
    <mc:Choice Requires="x15">
      <x15ac:absPath xmlns:x15ac="http://schemas.microsoft.com/office/spreadsheetml/2010/11/ac" url="H:\Forskning, SDCA\PhD\RegionMidt kohorten\"/>
    </mc:Choice>
  </mc:AlternateContent>
  <xr:revisionPtr revIDLastSave="1" documentId="11_BAC9DC07AFE5F8171D9B36C6CDDE6902AF919FEC" xr6:coauthVersionLast="47" xr6:coauthVersionMax="47" xr10:uidLastSave="{DD74B80F-7AC2-46A0-9AC7-F2F4A60D820D}"/>
  <bookViews>
    <workbookView xWindow="0" yWindow="0" windowWidth="23040" windowHeight="9135" firstSheet="12" activeTab="12" xr2:uid="{00000000-000D-0000-FFFF-FFFF00000000}"/>
  </bookViews>
  <sheets>
    <sheet name="General" sheetId="8" r:id="rId1"/>
    <sheet name="WHO5" sheetId="9" r:id="rId2"/>
    <sheet name="SF12" sheetId="10" r:id="rId3"/>
    <sheet name="Symptoms" sheetId="16" r:id="rId4"/>
    <sheet name="Smell and taste" sheetId="11" r:id="rId5"/>
    <sheet name="Sex" sheetId="19" r:id="rId6"/>
    <sheet name="Teeth" sheetId="12" r:id="rId7"/>
    <sheet name="Pregnancy" sheetId="13" r:id="rId8"/>
    <sheet name="sleepapnoe" sheetId="24" r:id="rId9"/>
    <sheet name="BP and diabetes" sheetId="15" r:id="rId10"/>
    <sheet name="Insomia Severity Index" sheetId="4" r:id="rId11"/>
    <sheet name="Diseases" sheetId="23" r:id="rId12"/>
    <sheet name="Diabetes-specific" sheetId="7" r:id="rId13"/>
    <sheet name="PAM" sheetId="20" r:id="rId14"/>
    <sheet name="PAID" sheetId="21" r:id="rId15"/>
  </sheets>
  <definedNames>
    <definedName name="_GoBack" localSheetId="13">PAM!$B$2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5" l="1"/>
</calcChain>
</file>

<file path=xl/sharedStrings.xml><?xml version="1.0" encoding="utf-8"?>
<sst xmlns="http://schemas.openxmlformats.org/spreadsheetml/2006/main" count="868" uniqueCount="642">
  <si>
    <t>Variablename</t>
  </si>
  <si>
    <t>Label</t>
  </si>
  <si>
    <t>Categories</t>
  </si>
  <si>
    <t>Unit</t>
  </si>
  <si>
    <t>Danish</t>
  </si>
  <si>
    <t>English</t>
  </si>
  <si>
    <t>sex</t>
  </si>
  <si>
    <t>Sex</t>
  </si>
  <si>
    <t>1=Male, 2=Female</t>
  </si>
  <si>
    <t>1= Mand, 2= Kvinde</t>
  </si>
  <si>
    <t>age_survey</t>
  </si>
  <si>
    <t>Age Survey</t>
  </si>
  <si>
    <t>birthdate</t>
  </si>
  <si>
    <t>Birthdate</t>
  </si>
  <si>
    <t>height</t>
  </si>
  <si>
    <t>Height</t>
  </si>
  <si>
    <t>cm</t>
  </si>
  <si>
    <t>Hvor høj er du (uden sko)?</t>
  </si>
  <si>
    <t>What is your body height (no shoes)?</t>
  </si>
  <si>
    <t>weight</t>
  </si>
  <si>
    <t>Weight</t>
  </si>
  <si>
    <t>kg</t>
  </si>
  <si>
    <r>
      <t xml:space="preserve">Hvor meget vejer du i </t>
    </r>
    <r>
      <rPr>
        <i/>
        <sz val="11"/>
        <color theme="1"/>
        <rFont val="Calibri"/>
        <family val="2"/>
        <scheme val="minor"/>
      </rPr>
      <t>hele</t>
    </r>
    <r>
      <rPr>
        <sz val="10"/>
        <color theme="1"/>
        <rFont val="Verdana"/>
        <family val="2"/>
      </rPr>
      <t xml:space="preserve"> kg (uden tøj)?</t>
    </r>
  </si>
  <si>
    <t>What is your body weight (No cloth)?</t>
  </si>
  <si>
    <t xml:space="preserve">smoke </t>
  </si>
  <si>
    <t>Smoking status</t>
  </si>
  <si>
    <t>1=Daily, 2=Weekly, 3= Less than weekly, 4=Stopped, 5= Never</t>
  </si>
  <si>
    <t>Ryger du? (gælder ikke e-cigaretter)</t>
  </si>
  <si>
    <t>Do you smoke?</t>
  </si>
  <si>
    <t>alcohol</t>
  </si>
  <si>
    <t>How often do you have drink containing alcohol?</t>
  </si>
  <si>
    <t>1=Never, 2=Monthly or less, 3=2-4 times a month, 4=2-3 times a week, 5=4 or more times a week</t>
  </si>
  <si>
    <t>Hvor tit drikker du noget, der indeholder alkohol?</t>
  </si>
  <si>
    <t>alcohol_con</t>
  </si>
  <si>
    <t>How many standard drinks containing alcohol do you have on af typical day when drinking?</t>
  </si>
  <si>
    <t>1=1 or 2, 2=3 of 4, 3=5 or 6, 4=7 to 9, 5=10 or more</t>
  </si>
  <si>
    <t>Hvor mange genstande drikker du almindeligvis, når du drikker noget?</t>
  </si>
  <si>
    <t>bingedrink</t>
  </si>
  <si>
    <t>How often do you have five or more drinks on one occasion?</t>
  </si>
  <si>
    <t>1=Never, 2=Less than monthly, 3=Monthly, 4=Weekly, 5=Daily or almost daily</t>
  </si>
  <si>
    <t>Hvor tit drikker du 5 genstande eller flere ved samme lejlighed?</t>
  </si>
  <si>
    <t>How often do you have six or more drinks on one occasion?</t>
  </si>
  <si>
    <t>activitylevel</t>
  </si>
  <si>
    <t>Leisure time activity level</t>
  </si>
  <si>
    <t>1=Regular hard physical training, 2=Regular physical activity, 3=Some physical activity, 4=Sedentary</t>
  </si>
  <si>
    <t>Hvis du ser på det seneste år, hvad vil du så sige passer bedst som beskrivelse af din fysiske aktivitet i fritiden?</t>
  </si>
  <si>
    <t>If you look at the past year, what would you say fits best as a description of your physical activity in your spare time?</t>
  </si>
  <si>
    <t>family</t>
  </si>
  <si>
    <t>Contact with family</t>
  </si>
  <si>
    <t>1=Daily, 2=1 or 2 times a week, 3=1 or 2 times a month, 4=Less than 1 time  a month, 5=Never</t>
  </si>
  <si>
    <t>Hvor ofte er du i kontakt med venner, bekendte og familie, som du ikke bor sammen med? Med kontakt menes der, at I er sammen, taler i telefon sammen, skriver til hinanden m.v. Familie, som du ikke bor sammen med</t>
  </si>
  <si>
    <t>How often are you in contact with friends, acquaintances and family that you do not live with? By contact is meant that you are together, talking on the phone together, writing to each other, etc. Family that you do not live with</t>
  </si>
  <si>
    <t>friends</t>
  </si>
  <si>
    <t>Contact with friends</t>
  </si>
  <si>
    <t>Hvor ofte er du i kontakt med venner, bekendte og familie, som du ikke bor sammen med? Med kontakt menes der, at I er sammen, taler i telefon sammen, skriver til hinanden m.v. Venner</t>
  </si>
  <si>
    <t>How often are you in contact with friends, acquaintances and family that you do not live with? By contact is meant that you are together, talking on the phone together, writing to each other, etc. Friends</t>
  </si>
  <si>
    <t>colleague</t>
  </si>
  <si>
    <t>Contact collegues in leisure time</t>
  </si>
  <si>
    <t>Hvor ofte er du i kontakt med venner, bekendte og familie, som du ikke bor sammen med? Med kontakt menes der, at I er sammen, taler i telefon sammen, skriver til hinanden m.v. Kolleger eller studiekammerater i fritiden</t>
  </si>
  <si>
    <t>How often are you in contact with friends, acquaintances and family that you do not live with? By contact is meant that you are together, talking on the phone together, writing to each other, etc. Colleagues</t>
  </si>
  <si>
    <t>neighbour</t>
  </si>
  <si>
    <t>Contact with neighbours</t>
  </si>
  <si>
    <t>Hvor ofte er du i kontakt med venner, bekendte og familie, som du ikke bor sammen med? Med kontakt menes der, at I er sammen, taler i telefon sammen, skriver til hinanden m.v. Naboer eller beboere i dit lokalområde</t>
  </si>
  <si>
    <t>How often are you in contact with friends, acquaintances and family that you do not live with? By contact is meant that you are together, talking on the phone together, writing to each other, etc. Neighbours</t>
  </si>
  <si>
    <t>socialweb</t>
  </si>
  <si>
    <t>Contact with persons social media</t>
  </si>
  <si>
    <t>Hvor ofte er du i kontakt med venner, bekendte og familie, som du ikke bor sammen med? Med kontakt menes der, at I er sammen, taler i telefon sammen, skriver til hinanden m.v. Personer, du mest kender fra internettet (mail, sociale medier og lignende)</t>
  </si>
  <si>
    <t>How often are you in contact with friends, acquaintances and family that you do not live with? By contact is meant that you are together, talking on the phone together, writing to each other, etc. People you know most from the internet (email, social media and the like)</t>
  </si>
  <si>
    <t>socialalone</t>
  </si>
  <si>
    <t>Does it happen you are alone_even though you want to be with others?</t>
  </si>
  <si>
    <t>1=Often, 2=Once in a while, 3=Rarely, 4=No</t>
  </si>
  <si>
    <t>Sker det nogensinde, at du er alene, selvom du mest har lyst til at være sammen med andre?</t>
  </si>
  <si>
    <t>Does it happen you are alone even though you want to be with others?</t>
  </si>
  <si>
    <t>socialtalk</t>
  </si>
  <si>
    <t>Do you have someone to talk to if you have problems or need support?</t>
  </si>
  <si>
    <t>1=Always, 2=Mostly, 3=Some times, 4=Never or almost never</t>
  </si>
  <si>
    <t>Har du nogen at tale med, hvis du har problemer eller brug for støtte?</t>
  </si>
  <si>
    <t>bmi</t>
  </si>
  <si>
    <t>BMI</t>
  </si>
  <si>
    <t>kg/m2</t>
  </si>
  <si>
    <t>diabetestype_pop</t>
  </si>
  <si>
    <t>Diabetes type, register</t>
  </si>
  <si>
    <t>who5_1</t>
  </si>
  <si>
    <t>Have felt cheerful and in good spirits</t>
  </si>
  <si>
    <t>5=All the time, 4=Most of the time, 3=More than half of the time, 2=Less than half of the time, 1=Some of the time, 0=At no time</t>
  </si>
  <si>
    <t>Hvordan har du følt dig i de seneste to uger. I de sidste 2 uger har jeg været glad og i godt humør</t>
  </si>
  <si>
    <t>How you felt in the last two weeks. I have felt cheerful and in good spirits.</t>
  </si>
  <si>
    <t>who5_2</t>
  </si>
  <si>
    <t>Have felt calm and relaxed</t>
  </si>
  <si>
    <t>Hvordan har du følt dig i de seneste to uger. I de sidste 2 uger har jeg følt mig rolig og afslappet</t>
  </si>
  <si>
    <t>How you felt in the last two weeks. I have felt calm and relaxed.</t>
  </si>
  <si>
    <t>who5_3</t>
  </si>
  <si>
    <t>Have felt active and vigorous</t>
  </si>
  <si>
    <t>Hvordan har du følt dig i de seneste to uger. I de sidste 2 uger har jeg følt mig aktiv og energisk</t>
  </si>
  <si>
    <t>How you felt in the last two weeks. I have felt active and vigorous.</t>
  </si>
  <si>
    <t>who5_4</t>
  </si>
  <si>
    <t>Woke up feeling fresh and rested</t>
  </si>
  <si>
    <t>Hvordan har du følt dig i de seneste to uger. I de sidste 2 uger er jeg vågnet frisk og udhvilet</t>
  </si>
  <si>
    <t>How you felt in the last two weeks. I woke up feeling fresh and rested.</t>
  </si>
  <si>
    <t>who5_5</t>
  </si>
  <si>
    <t>Daily life has been filled with things of interest</t>
  </si>
  <si>
    <t>Hvordan har du følt dig i de seneste to uger. I de sidste 2 uger har min dagligdag været fyldt med ting der interesserer mig</t>
  </si>
  <si>
    <t>How you felt in the last two weeks. My daily life has been filled with things interest me.</t>
  </si>
  <si>
    <t>who_sum</t>
  </si>
  <si>
    <t>Sum WHO5 answer</t>
  </si>
  <si>
    <t>whopoint</t>
  </si>
  <si>
    <t>WHO5 Point</t>
  </si>
  <si>
    <t>who_group</t>
  </si>
  <si>
    <t>WHO5 Risk category</t>
  </si>
  <si>
    <t>1=High risk, 2=Risk, 3=Low risk</t>
  </si>
  <si>
    <t>Source: Well-Being Index 5-items ( WHO5)</t>
  </si>
  <si>
    <t>i1</t>
  </si>
  <si>
    <t>SF12_1 In general, would you say your health is</t>
  </si>
  <si>
    <t>1=Exellent, 2=Very good, 3=Good, 4=Fair, 5=Poor</t>
  </si>
  <si>
    <t>Hvordan synes du, dit helbred er alt i alt?</t>
  </si>
  <si>
    <t>In general, would you say your health is: Exellent, Very good, Good, Fair, Poor</t>
  </si>
  <si>
    <t>i2a</t>
  </si>
  <si>
    <t>SF12_2 Limitations in moderate activities</t>
  </si>
  <si>
    <t>1=Limited a lot, 2=Limited a little, 3=Not limited at all</t>
  </si>
  <si>
    <r>
      <t xml:space="preserve">Aktiviteter i dagligdagen. Er du </t>
    </r>
    <r>
      <rPr>
        <i/>
        <sz val="11"/>
        <color theme="1"/>
        <rFont val="Calibri"/>
        <family val="2"/>
        <scheme val="minor"/>
      </rPr>
      <t>på grund af dit helbred</t>
    </r>
    <r>
      <rPr>
        <sz val="11"/>
        <color theme="1"/>
        <rFont val="Calibri"/>
        <family val="2"/>
        <scheme val="minor"/>
      </rPr>
      <t xml:space="preserve"> begrænset i Lettere aktiviteter, såsom at flytte et bord, støvsuge eller cykle?</t>
    </r>
  </si>
  <si>
    <t xml:space="preserve">The following two questions are about activities you might do during a typical day. Does YOUR HEALTH NOW LIMIT YOU in these activities? If so, how much? MODERATE ACTIVITIES, such as moving a table, pushing a vacuum cleaner, bowling, or playing
golf.
</t>
  </si>
  <si>
    <t>i2b</t>
  </si>
  <si>
    <t>SF12_3 Limitations in climbing several flights or stairs</t>
  </si>
  <si>
    <r>
      <t xml:space="preserve">Aktiviteter i dagligdagen. Er du </t>
    </r>
    <r>
      <rPr>
        <i/>
        <sz val="11"/>
        <color theme="1"/>
        <rFont val="Calibri"/>
        <family val="2"/>
        <scheme val="minor"/>
      </rPr>
      <t>på grund af dit helbred</t>
    </r>
    <r>
      <rPr>
        <sz val="11"/>
        <color theme="1"/>
        <rFont val="Calibri"/>
        <family val="2"/>
        <scheme val="minor"/>
      </rPr>
      <t xml:space="preserve"> begrænset i at gå flere etager op ad trapper?</t>
    </r>
  </si>
  <si>
    <t xml:space="preserve">The following two questions are about activities you might do during a typical day. Does YOUR HEALTH NOW LIMIT YOU in these activities? If so, how much? Climbing SEVERAL flights of stairs: Climbing SEVERAL flights of stairs:
</t>
  </si>
  <si>
    <t>i3a</t>
  </si>
  <si>
    <t>SF12_4 Accomplished less than you would like_physical health</t>
  </si>
  <si>
    <t>1=All of the time, 2=Most of the time, 3=Some of the time, 4=A little of the time, 5=None of the time</t>
  </si>
  <si>
    <t>Hvor stor en del af tiden inden for de sidste 4 uger har du haft følgende problemer med dit arbejde eller andre daglige aktiviteter på grund af dit fysiske helbred? Jeg har nået mindre, end jeg gerne ville</t>
  </si>
  <si>
    <t xml:space="preserve">During the PAST 4 WEEKS have you had any of the following problems with your work or other regular activities AS A RESULT OF YOUR PHYSICAL HEALTH? ACCOMPLISHED LESS than you would like:
</t>
  </si>
  <si>
    <t>i3b</t>
  </si>
  <si>
    <t>SF12_5 Were limited in the kind of work or other activities_physical health</t>
  </si>
  <si>
    <t>Hvor stor en del af tiden inden for de sidste 4 uger har du haft følgende problemer med dit arbejde eller andre daglige aktiviteter på grund af dit fysiske helbred? Jeg har udført mit arbejde eller andre aktiviteter mindre omhyggeligt, end jeg plejer</t>
  </si>
  <si>
    <t xml:space="preserve">During the PAST 4 WEEKS have you had any of the following problems with your work or other regular activities AS A RESULT OF YOUR PHYSICAL HEALTH? Were limited in the KIND of work or other activities.
</t>
  </si>
  <si>
    <t>i4a</t>
  </si>
  <si>
    <t>SF12_6 Accomplished less than you would like_emotional problems</t>
  </si>
  <si>
    <t>Hvor stor en del af tiden inden for de sidste 4 uger har du haft følgende problemer med dit arbejde eller andre daglige aktiviteter på grund af følelsesmæssige problemer? Jeg har nået mindre, end jeg gerne ville</t>
  </si>
  <si>
    <t xml:space="preserve">During the PAST 4 WEEKS, were you limited in the kind of work you do or other regular activities AS A RESULT OF ANY EMOTIONAL PROBLEMS (such as feeling depressed or anxious)? ACCOMPLISHED LESS than you would like.
</t>
  </si>
  <si>
    <t>i4b</t>
  </si>
  <si>
    <t>SF12_7 Did work or activities less carefully than usual_emotional problems</t>
  </si>
  <si>
    <t>Hvor stor en del af tiden inden for de sidste 4 uger har du haft følgende problemer med dit arbejde eller andre daglige aktiviteter på grund af følelsesmæssige problemer? Jeg har udført mit arbejde eller andre aktiviteter mindre omhyggeligt, end jeg plejer</t>
  </si>
  <si>
    <t xml:space="preserve">During the PAST 4 WEEKS, were you limited in the kind of work you do or other regular activities AS A RESULT OF ANY EMOTIONAL PROBLEMS (such as feeling depressed or anxious)? Didn’t do work or other activities as CAREFULLY as usual:
</t>
  </si>
  <si>
    <t>i5</t>
  </si>
  <si>
    <t>SF12_8 During the past 4 weeks, how much did pain interfere with your normal work</t>
  </si>
  <si>
    <t>1=Not at all, 2=A little bit, 3=Moderately, 4=Quite a lot, 5=Very much</t>
  </si>
  <si>
    <t>Inden for de sidste 4 uger, hvor meget har fysisk smerte vanskeliggjort dit daglige arbejde? Både arbejde uden for hjemmet og husarbejde.</t>
  </si>
  <si>
    <t>During the PAST 4 WEEKS, how much did PAIN interfere with your normal work (including both work outside the home and housework)?</t>
  </si>
  <si>
    <t>i6a</t>
  </si>
  <si>
    <t xml:space="preserve">SF12_9 Have you felt calm &amp; peaceful? </t>
  </si>
  <si>
    <t>Hvor stor en del af tiden i de sidste 4 uger har du følt dig rolig og afslappet?</t>
  </si>
  <si>
    <t xml:space="preserve">The next three questions are about how you feel and how things have been DURING THE PAST 4 WEEKS. For each question, please give the one answer that comes closest to the way you have been feeling. How much of the time during the PAST 4 WEEKS Have you felt calm and peaceful?
</t>
  </si>
  <si>
    <t>i6b</t>
  </si>
  <si>
    <t xml:space="preserve">SF12_10 Did you have a lot of energy? </t>
  </si>
  <si>
    <t>Hvor stor en del af tiden i de sidste 4 uger har du været fuld af energi?</t>
  </si>
  <si>
    <t>The next three questions are about how you feel and how things have been DURING THE PAST 4 WEEKS. For each question, please give the one answer that comes closest to the way you have been feeling. How much of the time during the PAST 4 WEEKS Did you have a lot of energy?</t>
  </si>
  <si>
    <t>i6c</t>
  </si>
  <si>
    <t>SF12_11 Have you felt down-hearted and blue?</t>
  </si>
  <si>
    <t>Hvor stor en del af tiden i de sidste 4 uger har du følt dig trist til mode?</t>
  </si>
  <si>
    <t>The next three questions are about how you feel and how things have been DURING THE PAST 4 WEEKS. For each question, please give the one answer that comes closest to the way you have been feeling. How much of the time during the PAST 4 WEEKS Have you felt downhearted and blue?</t>
  </si>
  <si>
    <t>i7</t>
  </si>
  <si>
    <t>SF12_12 Physical health or emotional problems interfered with your social activities</t>
  </si>
  <si>
    <t>Inden for de sidste 4 uger, hvor stor en del af tiden har dit fysiske helbred eller følelsesmæssige problemer gjort det vanskeligt at se andre mennesker? F.eks. besøge venner, slægtninge osv.</t>
  </si>
  <si>
    <t>During the PAST 4 WEEKS, how much of the time has your PHYSICAL HEALTH OR EMOTIONAL PROBLEMS interfered with your social activities (like visiting with friends, relatives, etc.)?</t>
  </si>
  <si>
    <t>agg_ment</t>
  </si>
  <si>
    <t>SF12 Mental component (DK weights, Defactum(2018))</t>
  </si>
  <si>
    <t>agg_phys</t>
  </si>
  <si>
    <t>SF12 Physical component (DK weights, Defactum(2018))</t>
  </si>
  <si>
    <t>Source: 12-item Short-Form Health Survey (SF-12)</t>
  </si>
  <si>
    <t>Question (Danish)</t>
  </si>
  <si>
    <t>Notes</t>
  </si>
  <si>
    <t>Question (English)</t>
  </si>
  <si>
    <t>symp_1</t>
  </si>
  <si>
    <t>During the last two weeks have you experienced dyspnoea?</t>
  </si>
  <si>
    <t>1= At rest, 2= Doing normal daily activities(bath, dressing, etc.), 3= Normal walking( hoovering etc.), 4=Hard physical work (stairs, cutting the lane, running etc), 5= No</t>
  </si>
  <si>
    <t>Har du inden for de seneste to uger oplevet åndenød?</t>
  </si>
  <si>
    <t>symp_2</t>
  </si>
  <si>
    <t>During the last two weeks how often have dyspnoea limited your activities</t>
  </si>
  <si>
    <t>1= All the time, 2= Daily, 3= Several times per week, 4= Seldom/ never</t>
  </si>
  <si>
    <t xml:space="preserve">Inden for de seneste to uger, hvor ofte har åndenød begrænset dine aktiviteter? </t>
  </si>
  <si>
    <t>During the last two weeks have often have dyspnoea limited your activities</t>
  </si>
  <si>
    <t>symp_3</t>
  </si>
  <si>
    <t>During the last two weeks how often have you had to sit up on a chair or use more than two pillows in the bed because of dyspnoea</t>
  </si>
  <si>
    <t>1= Every night, 2=Several times per week, 3=Less than once a week, 4= No</t>
  </si>
  <si>
    <t>Inden for de seneste to uger, hvor ofte har du været nødsaget til at  sætte dig op i en stol eller bruge mere end to puder i sengen pga. åndenød?</t>
  </si>
  <si>
    <t>During the last two weeks have often have you had to sit up on a chair or use more than two pillows in the bed because of dyspnoea</t>
  </si>
  <si>
    <t>symp_4</t>
  </si>
  <si>
    <t>Have you had swollen legs during the last two weeks</t>
  </si>
  <si>
    <t>1= Daily, 2=Several times per week, 3= Less than once a week, 4= No</t>
  </si>
  <si>
    <t>Har du haft hævede ben/ankler inden for de seneste to uger?</t>
  </si>
  <si>
    <t>Have you had swelled legs during the last two weeks</t>
  </si>
  <si>
    <t>symp_5</t>
  </si>
  <si>
    <t>During the last two weeks have you experienced pain/oppression in the chest</t>
  </si>
  <si>
    <t>1= At rest, 2=Doing normal daily activities(bath, dressing, etc.), 3= Normal walking( hoovering etc.,4=Hard physical work (stairs, lawn moving, running etc), 5= No</t>
  </si>
  <si>
    <t>Har du inden for de seneste to uger oplevet smerter/ trykken i brystet?</t>
  </si>
  <si>
    <t>symp_6</t>
  </si>
  <si>
    <t>During the last two weeks have pain/oppression in the chest limited your activities</t>
  </si>
  <si>
    <t>Inden for de seneste to uger, hvor ofte har smerter/trykken i brystet  begrænset dine aktiviteter?</t>
  </si>
  <si>
    <t>How hampered have you been because of these symptoms during the last two weeks</t>
  </si>
  <si>
    <t>Hvor generet har du været af disse symptomer de seneste to uger?</t>
  </si>
  <si>
    <t>stomach_1</t>
  </si>
  <si>
    <t>Heartburn</t>
  </si>
  <si>
    <t>1= Not at all, 2= A little, 3= Moderate, 4= Much, 4= Extreme</t>
  </si>
  <si>
    <t>Sure opstød</t>
  </si>
  <si>
    <t>stomach_2</t>
  </si>
  <si>
    <t>Constipation</t>
  </si>
  <si>
    <t>Forstoppelse</t>
  </si>
  <si>
    <t>stomach_3</t>
  </si>
  <si>
    <t>Nausea or vomit</t>
  </si>
  <si>
    <t>Kvalme eller opkast</t>
  </si>
  <si>
    <t>stomach_4</t>
  </si>
  <si>
    <t>Diarré</t>
  </si>
  <si>
    <t>Tynd mave</t>
  </si>
  <si>
    <t>stomach_5</t>
  </si>
  <si>
    <t>Stomach ache</t>
  </si>
  <si>
    <t>Mavesmerter</t>
  </si>
  <si>
    <t>stomach_gp</t>
  </si>
  <si>
    <t>Would you like to talk to a doctor about your stomach troubles?</t>
  </si>
  <si>
    <t>1=Yes, 0= No, 9=Do not know</t>
  </si>
  <si>
    <t>Kunne du tænke dig at snakke med din læge om dine maveproblemer?</t>
  </si>
  <si>
    <t>only this quest if answer &gt;1 in at least one of the above quests</t>
  </si>
  <si>
    <t>Source: SDCA - Sammedagsscreening</t>
  </si>
  <si>
    <t>smell</t>
  </si>
  <si>
    <t>Rating of smell since the last 14 days</t>
  </si>
  <si>
    <t>Continous arbitrary 1:100, 1= No smell, 100=perfect smell</t>
  </si>
  <si>
    <t>Vurdér, hvor god din lugtesans har været i gennemsnit de seneste 14 dage</t>
  </si>
  <si>
    <t xml:space="preserve">Please rate how good your sense of smell has been on average over the past 14 days </t>
  </si>
  <si>
    <t>smell_fanta</t>
  </si>
  <si>
    <t>Fantomic smell since the last 14 days</t>
  </si>
  <si>
    <t>1=No, 2= Yes I experience odors to be distorted, 3=Yyes I experience odors that are not there, 4= Yes both distortion and odors that are not there</t>
  </si>
  <si>
    <t>Har du de seneste 14 dage oplevet, at kendte lugte er forvrængede, eller at du registrerer lugte, der ikke er til stede?</t>
  </si>
  <si>
    <t xml:space="preserve">In the last 14 days, have you experienced that known odors are distorted or that you detected odors that were not present? </t>
  </si>
  <si>
    <t>smell_age</t>
  </si>
  <si>
    <t>Age when smell changed</t>
  </si>
  <si>
    <t>999= do not know, 1000= never experienced problems</t>
  </si>
  <si>
    <t>years</t>
  </si>
  <si>
    <t>Hvis din lugtesans er nedsat, forvrænget, eller du oplever lugte, der ikke er til stede: Hvor gammel var du, da lugtesansen ændrede sig?</t>
  </si>
  <si>
    <t>If your sense of smell is impaired, distorted, or you experience odors that are not present: How old were you when the sense of smell changed?</t>
  </si>
  <si>
    <t>smell_rate</t>
  </si>
  <si>
    <t>Speed of smell change</t>
  </si>
  <si>
    <t>1= Suddenly, 2=Gradually, 9= Do not know</t>
  </si>
  <si>
    <t>Er din ændrede lugtesans opstået pludseligt eller gradvist?</t>
  </si>
  <si>
    <t>Has your altered sense of smell occurred suddenly or gradually?</t>
  </si>
  <si>
    <t>taste</t>
  </si>
  <si>
    <t>Rating of taste since the last 14 days</t>
  </si>
  <si>
    <t>Vurdér, hvor god din smagssans har været i gennemsnit de seneste 14 dage</t>
  </si>
  <si>
    <t xml:space="preserve">Please rate how good your sense of taste has been on average over the past 14 days </t>
  </si>
  <si>
    <t>taste_fanta</t>
  </si>
  <si>
    <t>Fantomic taste since the last 14 days</t>
  </si>
  <si>
    <t>1=No, 2= Yes I experience basic tastes to be distorted, 3= Yes I experience basic tastes that are not there, 4= Yes both distortion and basic tastes that are not there</t>
  </si>
  <si>
    <t>Har du de seneste 14 dage oplevet, at grundsmage er forvrængede, eller at du registrerer smage, der ikke er til stede?</t>
  </si>
  <si>
    <t>In the last 14 days, have you experienced that basic tastes are distorted or that you register tastes that are not present?</t>
  </si>
  <si>
    <t>taste_age</t>
  </si>
  <si>
    <t>Age when taste changed</t>
  </si>
  <si>
    <t>Years</t>
  </si>
  <si>
    <t>Hvis din smagssans er nedsat, forvrænget, eller du oplever smage, der ikke er til stede: Hvor gammel var du, da smagssansen ændrede sig?</t>
  </si>
  <si>
    <t>If your sense of taste is impaired, distorted, or you experience tastes that are not present: How old were you when your sense of taste changed?</t>
  </si>
  <si>
    <t>taste_rate</t>
  </si>
  <si>
    <t>Speed of taste change</t>
  </si>
  <si>
    <t>Er din ændrede smagssans opstået pludseligt eller gradvist?</t>
  </si>
  <si>
    <t>Has your altered sense of taste occurred suddenly or gradually?</t>
  </si>
  <si>
    <t>smelltaste_impact</t>
  </si>
  <si>
    <t>Rating of negative consequences of impaired smell/taste on quality of life</t>
  </si>
  <si>
    <t>Continous arbitrary 1:100, 1= No impact, 100= total impact</t>
  </si>
  <si>
    <t>Har ændringer i lugte- og/eller smagssans en negativ konsekvens for din livskvalitet?</t>
  </si>
  <si>
    <t>Does changes in the sense of smell and / or taste have a negative consequence for your quality of life?</t>
  </si>
  <si>
    <t>sex_interestprop_w</t>
  </si>
  <si>
    <t>Interest problem</t>
  </si>
  <si>
    <t>0=Not selected, 1= Yes</t>
  </si>
  <si>
    <t>For lidt eller ingen lyst til sex</t>
  </si>
  <si>
    <t>Problems with little or no interest in sex</t>
  </si>
  <si>
    <t>sex_sensprop_w</t>
  </si>
  <si>
    <t>Sensation problem</t>
  </si>
  <si>
    <t>Problem med nedsat følelse i skeden</t>
  </si>
  <si>
    <t>Problem with decreased sensation of clitoris or vagina</t>
  </si>
  <si>
    <t>sex_dryprob_w</t>
  </si>
  <si>
    <t>Dryness problem</t>
  </si>
  <si>
    <t>Tørhed i skeden</t>
  </si>
  <si>
    <t>Problem with decreased vaginal lubrication (dryness)</t>
  </si>
  <si>
    <t>sex_orgprob_w</t>
  </si>
  <si>
    <t>Orgasm problem</t>
  </si>
  <si>
    <t>Ingen orgasme</t>
  </si>
  <si>
    <t>Problem reaching orgasm</t>
  </si>
  <si>
    <t>sex_painprob_w</t>
  </si>
  <si>
    <t>Pain problem</t>
  </si>
  <si>
    <t>Smerter under samleje</t>
  </si>
  <si>
    <t>Problem with pain/or cramping during sex</t>
  </si>
  <si>
    <t>sex_otherprob_w</t>
  </si>
  <si>
    <t>Other problem</t>
  </si>
  <si>
    <t>Andet</t>
  </si>
  <si>
    <t>Other</t>
  </si>
  <si>
    <t>sex_total_w</t>
  </si>
  <si>
    <t>Total problems women</t>
  </si>
  <si>
    <t>1=1 problem, 2=2 problems, 3=3 problems, 4=4 problems, 5= 5 problems, 6=&gt;=6 problems</t>
  </si>
  <si>
    <t>Antal problemer, kvinder</t>
  </si>
  <si>
    <t>Number of problems, women</t>
  </si>
  <si>
    <t>sex_interestprop_m</t>
  </si>
  <si>
    <t>sex_erecprop_m</t>
  </si>
  <si>
    <t>Erection problem</t>
  </si>
  <si>
    <t>Problemer med rejsningen</t>
  </si>
  <si>
    <t>Problem with erection</t>
  </si>
  <si>
    <t>sex_ejacprop_m</t>
  </si>
  <si>
    <t>Ejaculation problem</t>
  </si>
  <si>
    <t>For tidlig udløsning</t>
  </si>
  <si>
    <t>Problem ejaculating too early during sexual activity</t>
  </si>
  <si>
    <t>sex_orgprop_m</t>
  </si>
  <si>
    <t>Forsinket eller ingen udløsning eller ingen orgasme</t>
  </si>
  <si>
    <t>Problem with taking too long, or not being able to ejaculate or have orgasm</t>
  </si>
  <si>
    <t>sex_painprop_m</t>
  </si>
  <si>
    <t>Problem with pain during sex</t>
  </si>
  <si>
    <t>sex_curvprop_m</t>
  </si>
  <si>
    <t>Curvature problem</t>
  </si>
  <si>
    <t>Penis bliver krum under erektion</t>
  </si>
  <si>
    <t>Problem with penile curvature during erection</t>
  </si>
  <si>
    <t>sex_otherprop_m</t>
  </si>
  <si>
    <t>sex_total_m</t>
  </si>
  <si>
    <t>Total problems male</t>
  </si>
  <si>
    <t>1=1 problem, 2=2 problems, 3=3 problems, 4=4 problems, 5= 5 problems, 6=6 problems, 7= &gt;=7 problems</t>
  </si>
  <si>
    <t>Antal problemer, Mænd</t>
  </si>
  <si>
    <t>Number of problems, male</t>
  </si>
  <si>
    <t>Source: Brief Sexual Symptom Checklist for men (BSSC-M) and women (BSSC-W)</t>
  </si>
  <si>
    <t>dentalhealth</t>
  </si>
  <si>
    <t>General dental health</t>
  </si>
  <si>
    <t>1=Excellent, 2=Very good, 3=Good, 4=Fair, 5=Poor, 9=Do not know</t>
  </si>
  <si>
    <t>Hvordan vil du overordnet vurdere sundhedstilstanden i dine tænder og tandkød?</t>
  </si>
  <si>
    <t>Overall, how would you rate the health of your teeth and gums?</t>
  </si>
  <si>
    <t>drymouth</t>
  </si>
  <si>
    <t>Sense of dry mouth</t>
  </si>
  <si>
    <t>1= I don't suffer from dry mouth, 2= I suffer somewhat from dry mouth, 3= I suffer very much from dry mouth, 4= I suffer from severe dry mouth and have difficulties talking</t>
  </si>
  <si>
    <t>Har du en daglig fornemmelse af tørhed i munden?</t>
  </si>
  <si>
    <t>Do you daily suffer from a dry mouth?</t>
  </si>
  <si>
    <t>teeth</t>
  </si>
  <si>
    <t>Number of teeth left</t>
  </si>
  <si>
    <t>1= No teeth, 2=1-9 teeth, 3=10-19 teeth, 4=20-27 teeth, 5= All teeth</t>
  </si>
  <si>
    <t xml:space="preserve">Næsten alle voksne har fået trukket tænder ud. Hvor mange af dine egne tænder har du tilbage? </t>
  </si>
  <si>
    <t>Almost all adults have had teeth extracted. How many of your own teeth do you have?</t>
  </si>
  <si>
    <t>para</t>
  </si>
  <si>
    <t>Paradontosis</t>
  </si>
  <si>
    <t>1=Yes, 0=No</t>
  </si>
  <si>
    <t>Tror du, at du har paradentose</t>
  </si>
  <si>
    <t>Do you think you might have gum disease?</t>
  </si>
  <si>
    <t>tooth_clean</t>
  </si>
  <si>
    <t>Paradentose treatment</t>
  </si>
  <si>
    <t>Har du fået behandling for paradentose, fx udvidet tandrensning og tandrodsrensning, også kaldet 'dybderensning'?</t>
  </si>
  <si>
    <t>Have you ever had treatment for gum disease such as scaling and root planing, sometimes called “deep cleaning”?</t>
  </si>
  <si>
    <t>pregnancy</t>
  </si>
  <si>
    <t>Previous pregnancy</t>
  </si>
  <si>
    <t>1= I have been pregnant, 2= I am pregnant at the moment, 3= no</t>
  </si>
  <si>
    <t xml:space="preserve">Har du været gravid?                                                      </t>
  </si>
  <si>
    <t>Have you ever been pregnant?</t>
  </si>
  <si>
    <t>birth_number</t>
  </si>
  <si>
    <t>Number of births</t>
  </si>
  <si>
    <t>continious</t>
  </si>
  <si>
    <t>Hvor mange af følgende har du haft? Fødsler</t>
  </si>
  <si>
    <t>How many of the following have you experienced? Births</t>
  </si>
  <si>
    <t>abort_spon</t>
  </si>
  <si>
    <t>Number of miscarriages</t>
  </si>
  <si>
    <t>Hvor mange af følgende har du haft? Spontan abort</t>
  </si>
  <si>
    <t>How many of the following have you experienced? Miscarriages</t>
  </si>
  <si>
    <t>abort_prov</t>
  </si>
  <si>
    <t>number of induced abortions</t>
  </si>
  <si>
    <t>Hvor mange af følgende har du haft? Provokeret abort</t>
  </si>
  <si>
    <t>How many of the following have you experienced? Induced abortion</t>
  </si>
  <si>
    <t>contraception</t>
  </si>
  <si>
    <t>Any Contraceptives</t>
  </si>
  <si>
    <t>1=Yes , 0=No , 9= Do not know</t>
  </si>
  <si>
    <t xml:space="preserve">Bruger du sikker svangerskabsforebyggende midler? Dvs. midler for at forhindre graviditet </t>
  </si>
  <si>
    <t>Do you use safe contraseptives?</t>
  </si>
  <si>
    <t>contra_iudhorm</t>
  </si>
  <si>
    <t>Intrauterine system (hormone)</t>
  </si>
  <si>
    <t>0= Not Selected, 1=Yes</t>
  </si>
  <si>
    <t>Hormonspiral</t>
  </si>
  <si>
    <t>contra_iudcop</t>
  </si>
  <si>
    <t>Intrauterine device (copper coil)</t>
  </si>
  <si>
    <t>Kobberspiral</t>
  </si>
  <si>
    <t>contra_oralcomb</t>
  </si>
  <si>
    <t>Combined oral contraceptive pill</t>
  </si>
  <si>
    <t>P-piller</t>
  </si>
  <si>
    <t>contra_vaginalring</t>
  </si>
  <si>
    <t>Vaginal ring</t>
  </si>
  <si>
    <t>P-ring</t>
  </si>
  <si>
    <t>contra_patchhorm</t>
  </si>
  <si>
    <t>Contraceptive patch</t>
  </si>
  <si>
    <t>P-plaster</t>
  </si>
  <si>
    <t>contra_injectionhorm</t>
  </si>
  <si>
    <t>Contraceptive injection</t>
  </si>
  <si>
    <t>P-sprøjte</t>
  </si>
  <si>
    <t>contra_oralprog</t>
  </si>
  <si>
    <t>Progestogen-only pill</t>
  </si>
  <si>
    <t>Minipiller</t>
  </si>
  <si>
    <t>contra_implant</t>
  </si>
  <si>
    <t>Contraceptive implant</t>
  </si>
  <si>
    <t>P-stav</t>
  </si>
  <si>
    <t>contra_steri</t>
  </si>
  <si>
    <t>Sterilisation</t>
  </si>
  <si>
    <t>contra_condoms</t>
  </si>
  <si>
    <t>Condoms</t>
  </si>
  <si>
    <t xml:space="preserve">Kondom </t>
  </si>
  <si>
    <t>contra_other</t>
  </si>
  <si>
    <t>preg_wish</t>
  </si>
  <si>
    <t>Pregnancy wish</t>
  </si>
  <si>
    <t xml:space="preserve">Går du med et graviditetsønske?                                         </t>
  </si>
  <si>
    <t>Do you wish to become pregnant?</t>
  </si>
  <si>
    <t>pregwish_time</t>
  </si>
  <si>
    <t>Pregnancy wish time</t>
  </si>
  <si>
    <t>months</t>
  </si>
  <si>
    <t>Hvor længe har du forsøgt at blive gravid?</t>
  </si>
  <si>
    <t>How long have you tried to become pregnant?</t>
  </si>
  <si>
    <t>preg_gp1</t>
  </si>
  <si>
    <t>Pregnancy counsil currently</t>
  </si>
  <si>
    <t>Har du opsøgt din egen læge for at drøfte, hvordan du opnår de bedste betingelser for en sund graviditet?</t>
  </si>
  <si>
    <t>Have you sought counsil from your doctor on how to achieve optimal conditions for a healthy pregnancy?</t>
  </si>
  <si>
    <t>preg_gp2</t>
  </si>
  <si>
    <t xml:space="preserve">Wish for pregnancy counsil </t>
  </si>
  <si>
    <t xml:space="preserve">Kunne du tænke dig at snakke med din læge eller anden behandler om, hvordan man opnår de bedste betingelser for en sund graviditet?                  </t>
  </si>
  <si>
    <t>Would you like to talk to your doctor or another healthcare professional, on how to achieve optimal conditions for a healthy pregnancy</t>
  </si>
  <si>
    <t>Variable name</t>
  </si>
  <si>
    <t>sb1</t>
  </si>
  <si>
    <t>Snoring loudly</t>
  </si>
  <si>
    <t>Snorker du højlydt? (Højere end almindelig tale eller højt nok til at kunne blive hørt gennem lukkede døre)</t>
  </si>
  <si>
    <t>Do you Snore Loudly (loud enough to be heard through closed doors or your bed-partner elbows you for snoring at night)?</t>
  </si>
  <si>
    <t>sb2</t>
  </si>
  <si>
    <t>Tired during daytime</t>
  </si>
  <si>
    <t>Føler du dig ofte træt, udmattet eller søvnig i dagtimerne?</t>
  </si>
  <si>
    <t>Do you often feel Tired, Fatigued, or Sleepy during the daytime (such as falling asleep during driving or talking to someone)?</t>
  </si>
  <si>
    <t>sb3</t>
  </si>
  <si>
    <t>observed gasping or stop breathing</t>
  </si>
  <si>
    <t>Har folk omkring dig observeret, at du holder op med at trække vejret, når du sover?</t>
  </si>
  <si>
    <t>Has anyone Observed you Stop Breathing or Choking/Gasping during your sleep ?</t>
  </si>
  <si>
    <t>sb4</t>
  </si>
  <si>
    <t>treatment for high bloodpresure</t>
  </si>
  <si>
    <t>Har du været, eller er du i behandling, for forhøjet blodtryk?</t>
  </si>
  <si>
    <t>Do you have or are being treated for High Blood Pressure ?</t>
  </si>
  <si>
    <t>bp_self</t>
  </si>
  <si>
    <t>Do you know your blood pressure?</t>
  </si>
  <si>
    <t>Kender du dit blodtryk?</t>
  </si>
  <si>
    <t>bp_sys_self</t>
  </si>
  <si>
    <t>Systolic blood pressure</t>
  </si>
  <si>
    <t>MmHg</t>
  </si>
  <si>
    <t>Hvad er dit systoliske blodtryk?</t>
  </si>
  <si>
    <t>What is your systolic blood pressure?</t>
  </si>
  <si>
    <t>53 individual reported diastolic BP higher than systolic BP</t>
  </si>
  <si>
    <t>bp_dia_self</t>
  </si>
  <si>
    <t>Diastolic blood pressure</t>
  </si>
  <si>
    <t>Hvad er dit diastoliske blodtryk?</t>
  </si>
  <si>
    <t>What is your diastolic blood pressure?</t>
  </si>
  <si>
    <t>diabetes_parent</t>
  </si>
  <si>
    <t xml:space="preserve">Have or had your parents diabetes? </t>
  </si>
  <si>
    <t xml:space="preserve">Har eller havde dine forældre diabetes (sukkersyge)? </t>
  </si>
  <si>
    <t>diabetes_sibling</t>
  </si>
  <si>
    <t xml:space="preserve">Have or had your siblings diabetes? </t>
  </si>
  <si>
    <t xml:space="preserve">Har eller havde dine søskende diabetes (sukkersyge)? </t>
  </si>
  <si>
    <t>diagnose</t>
  </si>
  <si>
    <t>Do you have diabetes?</t>
  </si>
  <si>
    <t>Har en læge nogensinde fortalt dig, at du har diabetes (sukkersyge)?</t>
  </si>
  <si>
    <t>Have a doctor ever told you that you have diabetes?</t>
  </si>
  <si>
    <t xml:space="preserve">isi_1 </t>
  </si>
  <si>
    <t>Difficulty falling asleep</t>
  </si>
  <si>
    <t>0=None, 1= Mild, 2=Moderate, 3=Severe, 4= Very severe</t>
  </si>
  <si>
    <t xml:space="preserve">I hvor høj grad har du haft svært ved at falde i søvn?      </t>
  </si>
  <si>
    <t>Please rate the current (lst 2 weeks) severity of your insomia problems: Difficulty falling asleep</t>
  </si>
  <si>
    <t>isi_2</t>
  </si>
  <si>
    <t>Difficulty staying asleep</t>
  </si>
  <si>
    <t xml:space="preserve"> I hvor høj grad har du haft svært ved at sove igennem?      </t>
  </si>
  <si>
    <t xml:space="preserve">isi_3 </t>
  </si>
  <si>
    <t>Problem waking up too early</t>
  </si>
  <si>
    <t xml:space="preserve"> I hvor høj grad har du haft problemer med at vågne for tidligt om morgenen? </t>
  </si>
  <si>
    <t xml:space="preserve">isi_4 </t>
  </si>
  <si>
    <t>Satisfied/dissatified with sleeping pattern</t>
  </si>
  <si>
    <t>0=Very satisfied, 1=Satisfied, 2=Moderately satisfied, 3=Dissatisfied, 4=Very dissatified</t>
  </si>
  <si>
    <t>Hvor tilfreds/utilfreds er du med dit nuværende søvnmønster?</t>
  </si>
  <si>
    <t>how satisfied/dissatified are you with your current sleeping pattern</t>
  </si>
  <si>
    <t xml:space="preserve">isi_5 </t>
  </si>
  <si>
    <t>Sleep problem interfere with daily function</t>
  </si>
  <si>
    <t>0=Not at all interfering, 1= A little, 2=Somewhat, 3=Much, 4= Very much interferring</t>
  </si>
  <si>
    <t>I hvor høj grad synes du, at dine søvnproblemer påvirker din evne til at fungere (f.eks. træthed om dagen, evne til at varetage et arbejde, til at udføre daglige gøremål, koncentration, hukommelse, humør)?</t>
  </si>
  <si>
    <t>To what extent do you consider your sleep problem interfere with daily functioning</t>
  </si>
  <si>
    <t xml:space="preserve">isi_6 </t>
  </si>
  <si>
    <t>Noticeable to others</t>
  </si>
  <si>
    <t>0=Not at all noticeable, 1= A little, 2=Somewhat, 3=Much, 4= Very much noticeable</t>
  </si>
  <si>
    <t>Hvor synligt tror du, det er for andre, at dine søvnproblemer forringer din livskvalitet?</t>
  </si>
  <si>
    <t>How noticeable to others, do you think your sleeping problem is in terms of impairing your quality of life</t>
  </si>
  <si>
    <t xml:space="preserve">isi_7 </t>
  </si>
  <si>
    <t>Worried/distressed about current sleeping problem</t>
  </si>
  <si>
    <t>0=Not at all, 1= A little, 2=Somewhat, 3=Much, 4= Very much</t>
  </si>
  <si>
    <t xml:space="preserve">Hvor bekymret (belastet) er du pga. dine nuværende søvnproblemer? </t>
  </si>
  <si>
    <t>How worried/distressed are you about your current sleeping problem</t>
  </si>
  <si>
    <t>isi_score</t>
  </si>
  <si>
    <t>Insomia severity index sumscore</t>
  </si>
  <si>
    <t>isi_level</t>
  </si>
  <si>
    <t>Insomia severity index level</t>
  </si>
  <si>
    <t>0= No clinically significant insomia (≤7), 1=Subtreshold insomia (8-14), 2=Clinical insomia (moderate severity) (15-21), 3=Clinical insomia (severe) (22-28)</t>
  </si>
  <si>
    <t>Source: Insomnia Severity Index</t>
  </si>
  <si>
    <t>dis_hyper</t>
  </si>
  <si>
    <t>Hypertension</t>
  </si>
  <si>
    <t>1=Yes, 0=Not selected</t>
  </si>
  <si>
    <t>Forhøjet Blodtryk</t>
  </si>
  <si>
    <t>dis_ami</t>
  </si>
  <si>
    <t>AMI</t>
  </si>
  <si>
    <t>Blodprop i hjertet</t>
  </si>
  <si>
    <t>Acute myocardie infarct</t>
  </si>
  <si>
    <t>dis_angina</t>
  </si>
  <si>
    <t>Angina</t>
  </si>
  <si>
    <t>Hjertekrampe (angina pectoris)</t>
  </si>
  <si>
    <t>Angina pectoris</t>
  </si>
  <si>
    <t>dis_stroke</t>
  </si>
  <si>
    <t>Stroke</t>
  </si>
  <si>
    <t>Hjerneblødning, Blodprop i hjernen</t>
  </si>
  <si>
    <t>dis_lung</t>
  </si>
  <si>
    <t>Lung disease</t>
  </si>
  <si>
    <t>Kronisk bronkitis, for store lunger, rygerlunger (emfysem, KOL)</t>
  </si>
  <si>
    <t>chronial bronchitis, hyperinflated lungs (emphysema, COPD)</t>
  </si>
  <si>
    <t>dis_osteo</t>
  </si>
  <si>
    <t>Osteoporosis</t>
  </si>
  <si>
    <t>Knogleskørhed (Osteoporose)</t>
  </si>
  <si>
    <t>dis_cancer</t>
  </si>
  <si>
    <t>Cancer</t>
  </si>
  <si>
    <t>Kræft</t>
  </si>
  <si>
    <t>dis_psyshort</t>
  </si>
  <si>
    <t>Psychiatric disease less than 6 month</t>
  </si>
  <si>
    <t>Psykisk lidelse, som varede eller indtil nu har varet mindre end 6 måneder</t>
  </si>
  <si>
    <t>Psychiatric disease, lasting until now or less than 6 month</t>
  </si>
  <si>
    <t>dis_psylong</t>
  </si>
  <si>
    <t>Psychiatric disease longer than 6 month</t>
  </si>
  <si>
    <t>Psykisk lidelse af mere end 6 måneders varighed</t>
  </si>
  <si>
    <t>Psychiatric disease lasting longer than 6 month</t>
  </si>
  <si>
    <t>dis_none</t>
  </si>
  <si>
    <t>None of the diseases</t>
  </si>
  <si>
    <t>Jeg har aldrig haft nogle af disse sygdomme</t>
  </si>
  <si>
    <t>I have never had any of these diseases</t>
  </si>
  <si>
    <t>distotal</t>
  </si>
  <si>
    <t>Number of diseases</t>
  </si>
  <si>
    <t>Antal af disse sygdomme</t>
  </si>
  <si>
    <t>dismiss</t>
  </si>
  <si>
    <t>No answer</t>
  </si>
  <si>
    <t>Ingen svar</t>
  </si>
  <si>
    <t>diabetes_type</t>
  </si>
  <si>
    <t>Diabetes type</t>
  </si>
  <si>
    <t>1=Type 1, 2=Type 2, 3=Other type, 9= Do not know</t>
  </si>
  <si>
    <t>Hvilken type diabetes har du?</t>
  </si>
  <si>
    <t>51 indiviudal have reported diabetes_age higher than survey_age</t>
  </si>
  <si>
    <t>diabetes_age</t>
  </si>
  <si>
    <t>Age at diabetes diagnose</t>
  </si>
  <si>
    <t>Hvor gammel var du, da en læge fortalte dig, at du havde diabetes?</t>
  </si>
  <si>
    <t>How old were you when a doctor told you that you had diabetes?</t>
  </si>
  <si>
    <t>neuropathy_1</t>
  </si>
  <si>
    <t>Diabetic pedestrain disease (eg. neurophathy)</t>
  </si>
  <si>
    <t>1=Yes, 0= No</t>
  </si>
  <si>
    <t>Har en læge nogensinde fortalt dig, at du har diabetisk fodsygdom (fx. neuropati)?</t>
  </si>
  <si>
    <t>Have a doctor ever told you that you have diabetic foot disease (eg. neurophaty)?</t>
  </si>
  <si>
    <t>neuropathy_2</t>
  </si>
  <si>
    <t>Podiatric examination last 24 months</t>
  </si>
  <si>
    <t>Har du fået undersøgt dine fødder ved en fodterapeut inden for de sidste 24 måneder?</t>
  </si>
  <si>
    <t>Have you had a foot examination by a podiatrist during the last 24 months?</t>
  </si>
  <si>
    <t>retinopathy_1</t>
  </si>
  <si>
    <t>Diabetic eye disease (eg. retinophathy)</t>
  </si>
  <si>
    <t>Har en læge nogensinde fortalt dig, at du har diabetisk øjensygdom (fx retinopati)?</t>
  </si>
  <si>
    <t>Have a doctor ever told you that you have diabetic eye disease (eg. retinophaty)?</t>
  </si>
  <si>
    <t>retinopathy_2</t>
  </si>
  <si>
    <t>Eye examination last 24 months</t>
  </si>
  <si>
    <t>Har du fået undersøgt dine øjne ved en øjenlæge inden for de sidste 24 måneder?</t>
  </si>
  <si>
    <t>Have you had an eye examination by a ophthalogist during the last 24 months?</t>
  </si>
  <si>
    <t>Rename</t>
  </si>
  <si>
    <t>pam01</t>
  </si>
  <si>
    <t>Responsible for taking care of own health</t>
  </si>
  <si>
    <t>1= Disagree strongly, 1= Disagree, 3= Agree, 4=Agree strongly, 0= N/A</t>
  </si>
  <si>
    <t>Når alt kommer til alt, er jeg den, der er ansvarlig for mit eget helbred</t>
  </si>
  <si>
    <t>I am the person who is responsible for taking care of my health</t>
  </si>
  <si>
    <t>pam02</t>
  </si>
  <si>
    <t>Taking an active role in my own health care</t>
  </si>
  <si>
    <t>At tage en aktiv rolle i forhold til min egen sundhed er den vigtigste faktor i forhold til mit helbred og evne til at fungere</t>
  </si>
  <si>
    <t xml:space="preserve">Taking an active role in my own health care is the most important thing that affects my health </t>
  </si>
  <si>
    <t>pam03</t>
  </si>
  <si>
    <t>Help prevent or reduce health problems</t>
  </si>
  <si>
    <t>Jeg er sikker på, at jeg kan foretage handlinger, der vil forebygge eller minimere nogle symptomer eller problemer i forbindelse med mit helbred</t>
  </si>
  <si>
    <t>I am confident I can help prevent or reduce problems associated with my health</t>
  </si>
  <si>
    <t>pam04</t>
  </si>
  <si>
    <t>Know what each of my prescribed medications do</t>
  </si>
  <si>
    <t>Jeg ved, hvad alt min receptpligtige medicin er for</t>
  </si>
  <si>
    <t>I know what each of my prescribed medications do</t>
  </si>
  <si>
    <t>pam05</t>
  </si>
  <si>
    <t>Tell when to go to the doctor or take care myself</t>
  </si>
  <si>
    <t>Jeg er sikker på, at jeg ved, hvornår jeg har behov for lægehjælp, og hvornår jeg kan klare et helbredsproblem selv</t>
  </si>
  <si>
    <t>I am confident that I can tell whether I need to go to the doctor or whether I can take care of a health problem myself</t>
  </si>
  <si>
    <t>pam06</t>
  </si>
  <si>
    <t xml:space="preserve">Tell a doctor or nurse about health concerns </t>
  </si>
  <si>
    <t>Jeg er sikker på, at jeg kan fortælle en læge om et problem, selvom lægen ikke selv spørger</t>
  </si>
  <si>
    <t>I am confident that I can tell a doctor or nurse concerns I have even when he or she does not ask</t>
  </si>
  <si>
    <t>pam07</t>
  </si>
  <si>
    <t xml:space="preserve">Carry out medical treatments </t>
  </si>
  <si>
    <t>Jeg er sikker på, at jeg kan tage den medicin, min læge har ordineret, efter forskrifterne derhjemme i hverdagen</t>
  </si>
  <si>
    <t>I am confident that I can carry out medical treatments I may need to do at home</t>
  </si>
  <si>
    <t>pam08</t>
  </si>
  <si>
    <t xml:space="preserve">Understand my health problems </t>
  </si>
  <si>
    <t>Jeg forstår typen af og årsagerne til mine helbredsproblemer</t>
  </si>
  <si>
    <t>I understand my health problems and what causes them</t>
  </si>
  <si>
    <t>pam09</t>
  </si>
  <si>
    <t>Know available treatments</t>
  </si>
  <si>
    <t>Jeg har kendskab til de forskellige behandlingsmuligheder i forbindelse med min helbredstilstand</t>
  </si>
  <si>
    <t>I know what treatments are available for my health problems</t>
  </si>
  <si>
    <t>pam10</t>
  </si>
  <si>
    <t>Able to maintain lifestyle changes</t>
  </si>
  <si>
    <t>Jeg har været i stand til at fastholde livsstilsændringer, som jeg har foretaget i forhold til mit helbred</t>
  </si>
  <si>
    <t>I have been able to maintain lifestyle changes, like healthy eating or exercising</t>
  </si>
  <si>
    <t>pam11</t>
  </si>
  <si>
    <t>Know how to prevent problems with my health</t>
  </si>
  <si>
    <t>Jeg ved, hvordan jeg kan forebygge helbredsproblemer</t>
  </si>
  <si>
    <t>I know how to prevent problems with my health</t>
  </si>
  <si>
    <t>pam12</t>
  </si>
  <si>
    <t xml:space="preserve">Work out solutions to new health problems </t>
  </si>
  <si>
    <t>Jeg er sikker på, at jeg kan  finde løsninger i tilfælde af en ny situation eller problemer angående mit helbred</t>
  </si>
  <si>
    <t>I am confident I can work out solutions when new problems arise with my health</t>
  </si>
  <si>
    <t>pam13</t>
  </si>
  <si>
    <t xml:space="preserve">Maintain lifestyle changes,  even under stress </t>
  </si>
  <si>
    <t>Jeg er sikker på, at jeg kan fastholde livsstilsændringer såsom kostvaner og motion, selv i pressede situationer</t>
  </si>
  <si>
    <t xml:space="preserve">I am confident that I can maintain lifestyle changes, like healthy eating and exercising, even during times of stress </t>
  </si>
  <si>
    <t>Source: Patient Activation Measure (PAM)</t>
  </si>
  <si>
    <t>paid1</t>
  </si>
  <si>
    <t xml:space="preserve">Feeling scared </t>
  </si>
  <si>
    <t>0= Not a problem, 1= Minor problem, 2=Moderate problem, 3=Somewhat serious problem, 4= Serious problem</t>
  </si>
  <si>
    <t>At du føler dig skræmt ved tanken om at leve med diabetes?</t>
  </si>
  <si>
    <t>Feeling scared when you think about living with diabetes</t>
  </si>
  <si>
    <t>paid2</t>
  </si>
  <si>
    <t xml:space="preserve">Feeling depressed </t>
  </si>
  <si>
    <t>At du føler dig nedtrykt ved tanken om at leve med diabetes?</t>
  </si>
  <si>
    <t>Feeling depressed when you think about living with diabetes</t>
  </si>
  <si>
    <t>paid3</t>
  </si>
  <si>
    <t>Worrying about the future and complications</t>
  </si>
  <si>
    <t>At du er bekymret for fremtiden og risikoen for alvorlige komplikationer?</t>
  </si>
  <si>
    <t>Worrying about the future and the possibility of serious complications</t>
  </si>
  <si>
    <t>paid4</t>
  </si>
  <si>
    <t xml:space="preserve">Diabetes takes mental and physical energy </t>
  </si>
  <si>
    <t>At du føler, at din diabetes tager for meget af din energi mentalt og fysisk i hverdagen?</t>
  </si>
  <si>
    <t>Feeling that diabetes is taking up too much of your mental and physical energy every day</t>
  </si>
  <si>
    <t>paid5</t>
  </si>
  <si>
    <t>Coping with complications of diabetes</t>
  </si>
  <si>
    <t>At kunne magte komplikationer til diabetes?</t>
  </si>
  <si>
    <t>paid_score</t>
  </si>
  <si>
    <t>Paid sumscore</t>
  </si>
  <si>
    <t>paid_problem</t>
  </si>
  <si>
    <t>Paid problem</t>
  </si>
  <si>
    <t>0=no paid problem, 1=paid problem (paid_sumscore&gt;8)</t>
  </si>
  <si>
    <t>Source: Problems Area In Diabetes (PAID) 5-items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</si>
</sst>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Verdana"/>
      <family val="2"/>
    </font>
    <font>
      <b/>
      <sz val="10"/>
      <color theme="1"/>
      <name val="Verdana"/>
      <family val="2"/>
    </font>
    <font>
      <sz val="10"/>
      <name val="Arial"/>
      <family val="2"/>
    </font>
    <font>
      <sz val="11"/>
      <color theme="1"/>
      <name val="Calibri"/>
      <family val="2"/>
      <scheme val="minor"/>
    </font>
    <font>
      <sz val="10"/>
      <name val="Verdana"/>
      <family val="2"/>
    </font>
    <font>
      <sz val="10"/>
      <color rgb="FF111111"/>
      <name val="Arial"/>
      <family val="2"/>
    </font>
    <font>
      <b/>
      <sz val="11"/>
      <color theme="1"/>
      <name val="Calibri"/>
      <family val="2"/>
      <scheme val="minor"/>
    </font>
    <font>
      <i/>
      <sz val="11"/>
      <color theme="1"/>
      <name val="Calibri"/>
      <family val="2"/>
      <scheme val="minor"/>
    </font>
    <font>
      <sz val="11"/>
      <name val="Calibri"/>
      <family val="2"/>
      <scheme val="minor"/>
    </font>
    <font>
      <b/>
      <sz val="11"/>
      <color theme="9"/>
      <name val="Calibri"/>
      <family val="2"/>
      <scheme val="minor"/>
    </font>
    <font>
      <sz val="11"/>
      <color rgb="FFFF0000"/>
      <name val="Calibri"/>
      <family val="2"/>
      <scheme val="minor"/>
    </font>
    <font>
      <b/>
      <sz val="11"/>
      <name val="Calibri"/>
      <family val="2"/>
      <scheme val="minor"/>
    </font>
    <font>
      <i/>
      <sz val="10"/>
      <color theme="1"/>
      <name val="Verdana"/>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0" borderId="0"/>
    <xf numFmtId="0" fontId="3" fillId="0" borderId="0"/>
  </cellStyleXfs>
  <cellXfs count="47">
    <xf numFmtId="0" fontId="0" fillId="0" borderId="0" xfId="0"/>
    <xf numFmtId="0" fontId="1" fillId="0" borderId="0" xfId="0" applyFont="1"/>
    <xf numFmtId="0" fontId="0" fillId="0" borderId="0" xfId="0" applyAlignment="1">
      <alignment vertical="top"/>
    </xf>
    <xf numFmtId="0" fontId="0" fillId="0" borderId="0" xfId="0" applyAlignment="1">
      <alignment horizontal="left" vertical="top" wrapText="1"/>
    </xf>
    <xf numFmtId="0" fontId="4" fillId="0" borderId="0" xfId="0" applyFont="1" applyAlignment="1">
      <alignment vertical="top"/>
    </xf>
    <xf numFmtId="0" fontId="4" fillId="0" borderId="0" xfId="0" applyFont="1" applyAlignment="1">
      <alignment horizontal="left" vertical="top" wrapText="1"/>
    </xf>
    <xf numFmtId="0" fontId="4" fillId="0" borderId="0" xfId="0" applyFont="1"/>
    <xf numFmtId="0" fontId="5" fillId="0" borderId="0" xfId="0" applyFont="1" applyAlignment="1">
      <alignment horizontal="left" vertical="center" wrapText="1" indent="1"/>
    </xf>
    <xf numFmtId="0" fontId="3" fillId="0" borderId="0" xfId="0" applyFont="1"/>
    <xf numFmtId="0" fontId="3" fillId="0" borderId="0" xfId="0" applyFont="1" applyAlignment="1">
      <alignment horizontal="left" vertical="top" wrapText="1"/>
    </xf>
    <xf numFmtId="0" fontId="3" fillId="0" borderId="0" xfId="2"/>
    <xf numFmtId="0" fontId="3" fillId="0" borderId="0" xfId="2" applyAlignment="1">
      <alignment vertical="top"/>
    </xf>
    <xf numFmtId="0" fontId="3" fillId="0" borderId="0" xfId="2" applyAlignment="1">
      <alignment vertical="top" wrapText="1"/>
    </xf>
    <xf numFmtId="0" fontId="3" fillId="0" borderId="0" xfId="2" applyAlignment="1">
      <alignment horizontal="left" vertical="top"/>
    </xf>
    <xf numFmtId="0" fontId="6" fillId="0" borderId="0" xfId="2" applyFont="1" applyAlignment="1">
      <alignment horizontal="left" vertical="top" wrapText="1"/>
    </xf>
    <xf numFmtId="0" fontId="6" fillId="0" borderId="0" xfId="2" applyFont="1" applyAlignment="1">
      <alignment vertical="top" wrapText="1"/>
    </xf>
    <xf numFmtId="0" fontId="6" fillId="0" borderId="0" xfId="2" applyFont="1"/>
    <xf numFmtId="0" fontId="8" fillId="0" borderId="0" xfId="2" applyFont="1" applyAlignment="1">
      <alignment vertical="top" wrapText="1"/>
    </xf>
    <xf numFmtId="0" fontId="9" fillId="0" borderId="0" xfId="2" applyFont="1" applyAlignment="1">
      <alignment horizontal="left" vertical="top" wrapText="1"/>
    </xf>
    <xf numFmtId="0" fontId="6" fillId="0" borderId="0" xfId="2" applyFont="1" applyAlignment="1">
      <alignment vertical="top"/>
    </xf>
    <xf numFmtId="0" fontId="10" fillId="0" borderId="0" xfId="2" applyFont="1" applyAlignment="1">
      <alignment wrapText="1"/>
    </xf>
    <xf numFmtId="0" fontId="10" fillId="0" borderId="0" xfId="2" applyFont="1" applyAlignment="1">
      <alignment vertical="top" wrapText="1"/>
    </xf>
    <xf numFmtId="0" fontId="11" fillId="0" borderId="0" xfId="2" applyFont="1" applyAlignment="1">
      <alignment vertical="top" wrapText="1"/>
    </xf>
    <xf numFmtId="0" fontId="6" fillId="0" borderId="0" xfId="2" applyFont="1" applyAlignment="1">
      <alignment horizontal="left" vertical="top"/>
    </xf>
    <xf numFmtId="0" fontId="3" fillId="0" borderId="2" xfId="2" applyBorder="1"/>
    <xf numFmtId="0" fontId="0" fillId="0" borderId="0" xfId="0" applyAlignment="1">
      <alignment horizontal="left" vertical="top"/>
    </xf>
    <xf numFmtId="0" fontId="1" fillId="0" borderId="0" xfId="0" applyFont="1" applyAlignment="1">
      <alignment vertical="top"/>
    </xf>
    <xf numFmtId="0" fontId="3" fillId="0" borderId="0" xfId="0" applyFont="1" applyAlignment="1">
      <alignment vertical="top"/>
    </xf>
    <xf numFmtId="0" fontId="3" fillId="0" borderId="0" xfId="0" applyFont="1" applyAlignment="1">
      <alignment horizontal="left" vertical="top"/>
    </xf>
    <xf numFmtId="0" fontId="6" fillId="0" borderId="0" xfId="0" applyFont="1"/>
    <xf numFmtId="0" fontId="6" fillId="0" borderId="0" xfId="0" applyFont="1" applyAlignment="1">
      <alignment vertical="top"/>
    </xf>
    <xf numFmtId="0" fontId="3" fillId="0" borderId="0" xfId="0" applyFont="1" applyAlignment="1">
      <alignment vertical="top" wrapText="1"/>
    </xf>
    <xf numFmtId="0" fontId="3" fillId="0" borderId="3" xfId="0" applyFont="1" applyBorder="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xf>
    <xf numFmtId="0" fontId="2" fillId="0" borderId="0" xfId="1" applyAlignment="1">
      <alignment vertical="top"/>
    </xf>
    <xf numFmtId="0" fontId="3" fillId="0" borderId="0" xfId="2" applyAlignment="1">
      <alignment horizontal="left" vertical="top" wrapText="1"/>
    </xf>
    <xf numFmtId="0" fontId="0" fillId="0" borderId="0" xfId="0" applyAlignment="1">
      <alignment vertical="top" wrapText="1"/>
    </xf>
    <xf numFmtId="0" fontId="3" fillId="0" borderId="1" xfId="2" applyBorder="1" applyAlignment="1">
      <alignment vertical="top"/>
    </xf>
    <xf numFmtId="0" fontId="3" fillId="0" borderId="0" xfId="0" applyFont="1" applyAlignment="1">
      <alignment horizontal="left" vertical="center"/>
    </xf>
    <xf numFmtId="0" fontId="8" fillId="0" borderId="0" xfId="2" applyFont="1" applyAlignment="1">
      <alignment vertical="top"/>
    </xf>
    <xf numFmtId="0" fontId="7" fillId="0" borderId="0" xfId="2" applyFont="1"/>
    <xf numFmtId="0" fontId="7" fillId="0" borderId="0" xfId="2" applyFont="1" applyAlignment="1">
      <alignment vertical="top"/>
    </xf>
    <xf numFmtId="0" fontId="7" fillId="0" borderId="0" xfId="0" applyFont="1"/>
    <xf numFmtId="0" fontId="12" fillId="0" borderId="0" xfId="0" applyFont="1" applyAlignment="1">
      <alignment vertical="top"/>
    </xf>
    <xf numFmtId="0" fontId="12" fillId="0" borderId="0" xfId="0" applyFont="1"/>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opLeftCell="A4" workbookViewId="0">
      <selection activeCell="C26" sqref="C26"/>
    </sheetView>
  </sheetViews>
  <sheetFormatPr defaultRowHeight="15"/>
  <cols>
    <col min="1" max="1" width="17.75" style="10" bestFit="1" customWidth="1"/>
    <col min="2" max="2" width="72.875" style="10" bestFit="1" customWidth="1"/>
    <col min="3" max="3" width="78.25" style="10" customWidth="1"/>
    <col min="4" max="4" width="9" style="10"/>
    <col min="5" max="5" width="204.375" style="10" bestFit="1" customWidth="1"/>
    <col min="6" max="6" width="72.625" style="10" bestFit="1" customWidth="1"/>
    <col min="7" max="16384" width="9" style="10"/>
  </cols>
  <sheetData>
    <row r="1" spans="1:6" customFormat="1" ht="12.75">
      <c r="A1" s="1" t="s">
        <v>0</v>
      </c>
      <c r="B1" s="1" t="s">
        <v>1</v>
      </c>
      <c r="C1" s="1" t="s">
        <v>2</v>
      </c>
      <c r="D1" s="1" t="s">
        <v>3</v>
      </c>
      <c r="E1" s="1" t="s">
        <v>4</v>
      </c>
      <c r="F1" s="1" t="s">
        <v>5</v>
      </c>
    </row>
    <row r="2" spans="1:6" customFormat="1" ht="12.75">
      <c r="A2" t="s">
        <v>6</v>
      </c>
      <c r="B2" t="s">
        <v>7</v>
      </c>
      <c r="C2" t="s">
        <v>8</v>
      </c>
      <c r="E2" t="s">
        <v>9</v>
      </c>
    </row>
    <row r="3" spans="1:6" customFormat="1" ht="12.75">
      <c r="A3" t="s">
        <v>10</v>
      </c>
      <c r="B3" t="s">
        <v>11</v>
      </c>
    </row>
    <row r="4" spans="1:6" customFormat="1" ht="12.75">
      <c r="A4" t="s">
        <v>12</v>
      </c>
      <c r="B4" t="s">
        <v>13</v>
      </c>
    </row>
    <row r="5" spans="1:6">
      <c r="A5" s="10" t="s">
        <v>14</v>
      </c>
      <c r="B5" s="10" t="s">
        <v>15</v>
      </c>
      <c r="D5" s="10" t="s">
        <v>16</v>
      </c>
      <c r="E5" s="10" t="s">
        <v>17</v>
      </c>
      <c r="F5" s="10" t="s">
        <v>18</v>
      </c>
    </row>
    <row r="6" spans="1:6">
      <c r="A6" s="10" t="s">
        <v>19</v>
      </c>
      <c r="B6" s="10" t="s">
        <v>20</v>
      </c>
      <c r="D6" s="10" t="s">
        <v>21</v>
      </c>
      <c r="E6" s="10" t="s">
        <v>22</v>
      </c>
      <c r="F6" s="10" t="s">
        <v>23</v>
      </c>
    </row>
    <row r="7" spans="1:6">
      <c r="A7" s="10" t="s">
        <v>24</v>
      </c>
      <c r="B7" s="10" t="s">
        <v>25</v>
      </c>
      <c r="C7" s="10" t="s">
        <v>26</v>
      </c>
      <c r="E7" s="10" t="s">
        <v>27</v>
      </c>
      <c r="F7" s="10" t="s">
        <v>28</v>
      </c>
    </row>
    <row r="8" spans="1:6">
      <c r="A8" s="10" t="s">
        <v>29</v>
      </c>
      <c r="B8" s="11" t="s">
        <v>30</v>
      </c>
      <c r="C8" s="11" t="s">
        <v>31</v>
      </c>
      <c r="E8" s="10" t="s">
        <v>32</v>
      </c>
      <c r="F8" s="11" t="s">
        <v>30</v>
      </c>
    </row>
    <row r="9" spans="1:6" ht="26.25" customHeight="1">
      <c r="A9" s="12" t="s">
        <v>33</v>
      </c>
      <c r="B9" s="12" t="s">
        <v>34</v>
      </c>
      <c r="C9" s="10" t="s">
        <v>35</v>
      </c>
      <c r="E9" s="10" t="s">
        <v>36</v>
      </c>
      <c r="F9" s="12" t="s">
        <v>34</v>
      </c>
    </row>
    <row r="10" spans="1:6">
      <c r="A10" s="11" t="s">
        <v>37</v>
      </c>
      <c r="B10" s="11" t="s">
        <v>38</v>
      </c>
      <c r="C10" s="11" t="s">
        <v>39</v>
      </c>
      <c r="E10" s="10" t="s">
        <v>40</v>
      </c>
      <c r="F10" s="11" t="s">
        <v>41</v>
      </c>
    </row>
    <row r="11" spans="1:6" ht="18" customHeight="1">
      <c r="A11" s="10" t="s">
        <v>42</v>
      </c>
      <c r="B11" s="10" t="s">
        <v>43</v>
      </c>
      <c r="C11" s="10" t="s">
        <v>44</v>
      </c>
      <c r="E11" s="10" t="s">
        <v>45</v>
      </c>
      <c r="F11" s="10" t="s">
        <v>46</v>
      </c>
    </row>
    <row r="12" spans="1:6" ht="15" customHeight="1">
      <c r="A12" s="10" t="s">
        <v>47</v>
      </c>
      <c r="B12" s="10" t="s">
        <v>48</v>
      </c>
      <c r="C12" s="13" t="s">
        <v>49</v>
      </c>
      <c r="E12" s="10" t="s">
        <v>50</v>
      </c>
      <c r="F12" s="10" t="s">
        <v>51</v>
      </c>
    </row>
    <row r="13" spans="1:6">
      <c r="A13" s="10" t="s">
        <v>52</v>
      </c>
      <c r="B13" s="10" t="s">
        <v>53</v>
      </c>
      <c r="C13" s="13" t="s">
        <v>49</v>
      </c>
      <c r="E13" s="10" t="s">
        <v>54</v>
      </c>
      <c r="F13" s="10" t="s">
        <v>55</v>
      </c>
    </row>
    <row r="14" spans="1:6">
      <c r="A14" s="10" t="s">
        <v>56</v>
      </c>
      <c r="B14" s="10" t="s">
        <v>57</v>
      </c>
      <c r="C14" s="13" t="s">
        <v>49</v>
      </c>
      <c r="E14" s="10" t="s">
        <v>58</v>
      </c>
      <c r="F14" s="10" t="s">
        <v>59</v>
      </c>
    </row>
    <row r="15" spans="1:6">
      <c r="A15" s="10" t="s">
        <v>60</v>
      </c>
      <c r="B15" s="10" t="s">
        <v>61</v>
      </c>
      <c r="C15" s="13" t="s">
        <v>49</v>
      </c>
      <c r="E15" s="10" t="s">
        <v>62</v>
      </c>
      <c r="F15" s="10" t="s">
        <v>63</v>
      </c>
    </row>
    <row r="16" spans="1:6" s="11" customFormat="1" ht="18" customHeight="1">
      <c r="A16" s="11" t="s">
        <v>64</v>
      </c>
      <c r="B16" s="11" t="s">
        <v>65</v>
      </c>
      <c r="C16" s="13" t="s">
        <v>49</v>
      </c>
      <c r="E16" s="11" t="s">
        <v>66</v>
      </c>
      <c r="F16" s="10" t="s">
        <v>67</v>
      </c>
    </row>
    <row r="17" spans="1:6" ht="15" customHeight="1">
      <c r="A17" s="11" t="s">
        <v>68</v>
      </c>
      <c r="B17" s="10" t="s">
        <v>69</v>
      </c>
      <c r="C17" s="10" t="s">
        <v>70</v>
      </c>
      <c r="E17" s="10" t="s">
        <v>71</v>
      </c>
      <c r="F17" s="10" t="s">
        <v>72</v>
      </c>
    </row>
    <row r="18" spans="1:6" ht="15" customHeight="1">
      <c r="A18" s="11" t="s">
        <v>73</v>
      </c>
      <c r="B18" s="10" t="s">
        <v>74</v>
      </c>
      <c r="C18" s="10" t="s">
        <v>75</v>
      </c>
      <c r="E18" s="10" t="s">
        <v>76</v>
      </c>
      <c r="F18" s="10" t="s">
        <v>74</v>
      </c>
    </row>
    <row r="19" spans="1:6" ht="15" customHeight="1">
      <c r="A19" s="11" t="s">
        <v>77</v>
      </c>
      <c r="B19" s="10" t="s">
        <v>78</v>
      </c>
      <c r="D19" s="10" t="s">
        <v>79</v>
      </c>
    </row>
    <row r="20" spans="1:6" ht="15" customHeight="1">
      <c r="A20" s="11" t="s">
        <v>80</v>
      </c>
      <c r="B20" s="10" t="s">
        <v>81</v>
      </c>
    </row>
    <row r="21" spans="1:6" ht="15" customHeight="1">
      <c r="A21" s="11"/>
    </row>
    <row r="22" spans="1:6" ht="15" customHeight="1">
      <c r="A22" s="1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C16" sqref="C16"/>
    </sheetView>
  </sheetViews>
  <sheetFormatPr defaultRowHeight="15"/>
  <cols>
    <col min="1" max="1" width="13.875" style="10" bestFit="1" customWidth="1"/>
    <col min="2" max="2" width="38.125" style="10" bestFit="1" customWidth="1"/>
    <col min="3" max="3" width="102.375" style="10" bestFit="1" customWidth="1"/>
    <col min="4" max="4" width="7.25" style="10" bestFit="1" customWidth="1"/>
    <col min="5" max="5" width="97" style="10" bestFit="1" customWidth="1"/>
    <col min="6" max="16384" width="9" style="10"/>
  </cols>
  <sheetData>
    <row r="1" spans="1:6" customFormat="1" ht="12.75">
      <c r="A1" s="1" t="s">
        <v>0</v>
      </c>
      <c r="B1" s="1" t="s">
        <v>1</v>
      </c>
      <c r="C1" s="1" t="s">
        <v>2</v>
      </c>
      <c r="D1" s="1" t="s">
        <v>3</v>
      </c>
      <c r="E1" s="1" t="s">
        <v>4</v>
      </c>
      <c r="F1" s="1" t="s">
        <v>5</v>
      </c>
    </row>
    <row r="2" spans="1:6" ht="15.75" customHeight="1">
      <c r="A2" s="10" t="s">
        <v>82</v>
      </c>
      <c r="B2" s="10" t="s">
        <v>83</v>
      </c>
      <c r="C2" s="10" t="s">
        <v>84</v>
      </c>
      <c r="E2" s="10" t="s">
        <v>85</v>
      </c>
      <c r="F2" s="10" t="s">
        <v>86</v>
      </c>
    </row>
    <row r="3" spans="1:6" ht="15.75" customHeight="1">
      <c r="A3" s="10" t="s">
        <v>87</v>
      </c>
      <c r="B3" s="10" t="s">
        <v>88</v>
      </c>
      <c r="C3" s="10" t="s">
        <v>84</v>
      </c>
      <c r="E3" s="10" t="s">
        <v>89</v>
      </c>
      <c r="F3" s="10" t="s">
        <v>90</v>
      </c>
    </row>
    <row r="4" spans="1:6" ht="15.75" customHeight="1">
      <c r="A4" s="10" t="s">
        <v>91</v>
      </c>
      <c r="B4" s="10" t="s">
        <v>92</v>
      </c>
      <c r="C4" s="10" t="s">
        <v>84</v>
      </c>
      <c r="E4" s="10" t="s">
        <v>93</v>
      </c>
      <c r="F4" s="10" t="s">
        <v>94</v>
      </c>
    </row>
    <row r="5" spans="1:6" ht="15.75" customHeight="1">
      <c r="A5" s="10" t="s">
        <v>95</v>
      </c>
      <c r="B5" s="10" t="s">
        <v>96</v>
      </c>
      <c r="C5" s="10" t="s">
        <v>84</v>
      </c>
      <c r="E5" s="10" t="s">
        <v>97</v>
      </c>
      <c r="F5" s="10" t="s">
        <v>98</v>
      </c>
    </row>
    <row r="6" spans="1:6" ht="15.75" customHeight="1">
      <c r="A6" s="12" t="s">
        <v>99</v>
      </c>
      <c r="B6" s="10" t="s">
        <v>100</v>
      </c>
      <c r="C6" s="10" t="s">
        <v>84</v>
      </c>
      <c r="E6" s="10" t="s">
        <v>101</v>
      </c>
      <c r="F6" s="10" t="s">
        <v>102</v>
      </c>
    </row>
    <row r="7" spans="1:6">
      <c r="A7" s="10" t="s">
        <v>103</v>
      </c>
      <c r="B7" s="10" t="s">
        <v>104</v>
      </c>
    </row>
    <row r="8" spans="1:6">
      <c r="A8" s="10" t="s">
        <v>105</v>
      </c>
      <c r="B8" s="10" t="s">
        <v>106</v>
      </c>
    </row>
    <row r="9" spans="1:6">
      <c r="A9" s="10" t="s">
        <v>107</v>
      </c>
      <c r="B9" s="10" t="s">
        <v>108</v>
      </c>
      <c r="C9" s="10" t="s">
        <v>109</v>
      </c>
    </row>
    <row r="16" spans="1:6">
      <c r="C16" s="42" t="s">
        <v>110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selection activeCell="C18" sqref="C18"/>
    </sheetView>
  </sheetViews>
  <sheetFormatPr defaultRowHeight="15"/>
  <cols>
    <col min="1" max="1" width="13.875" style="11" bestFit="1" customWidth="1"/>
    <col min="2" max="2" width="66.625" style="11" customWidth="1"/>
    <col min="3" max="3" width="100.25" style="11" bestFit="1" customWidth="1"/>
    <col min="4" max="4" width="7.75" style="11" customWidth="1"/>
    <col min="5" max="5" width="203.5" style="11" bestFit="1" customWidth="1"/>
    <col min="6" max="6" width="253.5" style="11" bestFit="1" customWidth="1"/>
    <col min="7" max="16384" width="9" style="11"/>
  </cols>
  <sheetData>
    <row r="1" spans="1:6">
      <c r="A1" s="19" t="s">
        <v>0</v>
      </c>
      <c r="B1" s="19" t="s">
        <v>1</v>
      </c>
      <c r="C1" s="19" t="s">
        <v>2</v>
      </c>
      <c r="D1" s="19" t="s">
        <v>3</v>
      </c>
      <c r="E1" s="19" t="s">
        <v>4</v>
      </c>
    </row>
    <row r="2" spans="1:6">
      <c r="A2" s="39" t="s">
        <v>111</v>
      </c>
      <c r="B2" s="11" t="s">
        <v>112</v>
      </c>
      <c r="C2" s="11" t="s">
        <v>113</v>
      </c>
      <c r="E2" s="11" t="s">
        <v>114</v>
      </c>
      <c r="F2" s="11" t="s">
        <v>115</v>
      </c>
    </row>
    <row r="3" spans="1:6" ht="38.25">
      <c r="A3" s="11" t="s">
        <v>116</v>
      </c>
      <c r="B3" s="11" t="s">
        <v>117</v>
      </c>
      <c r="C3" s="11" t="s">
        <v>118</v>
      </c>
      <c r="E3" s="11" t="s">
        <v>119</v>
      </c>
      <c r="F3" s="38" t="s">
        <v>120</v>
      </c>
    </row>
    <row r="4" spans="1:6" ht="19.5" customHeight="1">
      <c r="A4" s="11" t="s">
        <v>121</v>
      </c>
      <c r="B4" s="11" t="s">
        <v>122</v>
      </c>
      <c r="C4" s="11" t="s">
        <v>118</v>
      </c>
      <c r="E4" s="11" t="s">
        <v>123</v>
      </c>
      <c r="F4" s="12" t="s">
        <v>124</v>
      </c>
    </row>
    <row r="5" spans="1:6" ht="15.75" customHeight="1">
      <c r="A5" s="11" t="s">
        <v>125</v>
      </c>
      <c r="B5" s="11" t="s">
        <v>126</v>
      </c>
      <c r="C5" s="11" t="s">
        <v>127</v>
      </c>
      <c r="E5" s="11" t="s">
        <v>128</v>
      </c>
      <c r="F5" s="38" t="s">
        <v>129</v>
      </c>
    </row>
    <row r="6" spans="1:6" ht="21" customHeight="1">
      <c r="A6" s="11" t="s">
        <v>130</v>
      </c>
      <c r="B6" s="11" t="s">
        <v>131</v>
      </c>
      <c r="C6" s="11" t="s">
        <v>127</v>
      </c>
      <c r="E6" s="11" t="s">
        <v>132</v>
      </c>
      <c r="F6" s="12" t="s">
        <v>133</v>
      </c>
    </row>
    <row r="7" spans="1:6" ht="18" customHeight="1">
      <c r="A7" s="11" t="s">
        <v>134</v>
      </c>
      <c r="B7" s="11" t="s">
        <v>135</v>
      </c>
      <c r="C7" s="11" t="s">
        <v>127</v>
      </c>
      <c r="E7" s="11" t="s">
        <v>136</v>
      </c>
      <c r="F7" s="38" t="s">
        <v>137</v>
      </c>
    </row>
    <row r="8" spans="1:6" ht="21" customHeight="1">
      <c r="A8" s="11" t="s">
        <v>138</v>
      </c>
      <c r="B8" s="11" t="s">
        <v>139</v>
      </c>
      <c r="C8" s="11" t="s">
        <v>127</v>
      </c>
      <c r="E8" s="11" t="s">
        <v>140</v>
      </c>
      <c r="F8" s="12" t="s">
        <v>141</v>
      </c>
    </row>
    <row r="9" spans="1:6">
      <c r="A9" s="11" t="s">
        <v>142</v>
      </c>
      <c r="B9" s="11" t="s">
        <v>143</v>
      </c>
      <c r="C9" s="11" t="s">
        <v>144</v>
      </c>
      <c r="E9" s="11" t="s">
        <v>145</v>
      </c>
      <c r="F9" s="2" t="s">
        <v>146</v>
      </c>
    </row>
    <row r="10" spans="1:6" ht="16.5" customHeight="1">
      <c r="A10" s="11" t="s">
        <v>147</v>
      </c>
      <c r="B10" s="11" t="s">
        <v>148</v>
      </c>
      <c r="C10" s="11" t="s">
        <v>127</v>
      </c>
      <c r="E10" s="11" t="s">
        <v>149</v>
      </c>
      <c r="F10" s="38" t="s">
        <v>150</v>
      </c>
    </row>
    <row r="11" spans="1:6">
      <c r="A11" s="11" t="s">
        <v>151</v>
      </c>
      <c r="B11" s="11" t="s">
        <v>152</v>
      </c>
      <c r="C11" s="11" t="s">
        <v>127</v>
      </c>
      <c r="E11" s="11" t="s">
        <v>153</v>
      </c>
      <c r="F11" s="2" t="s">
        <v>154</v>
      </c>
    </row>
    <row r="12" spans="1:6">
      <c r="A12" s="11" t="s">
        <v>155</v>
      </c>
      <c r="B12" s="11" t="s">
        <v>156</v>
      </c>
      <c r="C12" s="11" t="s">
        <v>127</v>
      </c>
      <c r="E12" s="11" t="s">
        <v>157</v>
      </c>
      <c r="F12" s="2" t="s">
        <v>158</v>
      </c>
    </row>
    <row r="13" spans="1:6">
      <c r="A13" s="11" t="s">
        <v>159</v>
      </c>
      <c r="B13" s="11" t="s">
        <v>160</v>
      </c>
      <c r="C13" s="11" t="s">
        <v>127</v>
      </c>
      <c r="E13" s="11" t="s">
        <v>161</v>
      </c>
      <c r="F13" s="2" t="s">
        <v>162</v>
      </c>
    </row>
    <row r="14" spans="1:6">
      <c r="A14" s="11" t="s">
        <v>163</v>
      </c>
      <c r="B14" s="11" t="s">
        <v>164</v>
      </c>
    </row>
    <row r="15" spans="1:6">
      <c r="A15" s="11" t="s">
        <v>165</v>
      </c>
      <c r="B15" s="11" t="s">
        <v>166</v>
      </c>
    </row>
    <row r="18" spans="3:3">
      <c r="C18" s="43" t="s">
        <v>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5"/>
  <sheetViews>
    <sheetView topLeftCell="B1" zoomScaleNormal="100" workbookViewId="0">
      <selection activeCell="B11" sqref="B11"/>
    </sheetView>
  </sheetViews>
  <sheetFormatPr defaultRowHeight="15"/>
  <cols>
    <col min="1" max="1" width="14.375" style="8" bestFit="1" customWidth="1"/>
    <col min="2" max="2" width="81.875" style="8" bestFit="1" customWidth="1"/>
    <col min="3" max="3" width="143.25" style="8" bestFit="1" customWidth="1"/>
    <col min="4" max="4" width="7.625" style="8" customWidth="1"/>
    <col min="5" max="5" width="47" style="8" customWidth="1"/>
    <col min="6" max="6" width="16.375" style="8" customWidth="1"/>
    <col min="7" max="7" width="57.5" style="8" customWidth="1"/>
    <col min="8" max="16384" width="9" style="8"/>
  </cols>
  <sheetData>
    <row r="1" spans="1:7">
      <c r="A1" s="29" t="s">
        <v>0</v>
      </c>
      <c r="B1" s="29" t="s">
        <v>1</v>
      </c>
      <c r="C1" s="29" t="s">
        <v>2</v>
      </c>
      <c r="D1" s="29" t="s">
        <v>3</v>
      </c>
      <c r="E1" s="29" t="s">
        <v>168</v>
      </c>
      <c r="F1" s="8" t="s">
        <v>169</v>
      </c>
      <c r="G1" s="29" t="s">
        <v>170</v>
      </c>
    </row>
    <row r="2" spans="1:7">
      <c r="A2" s="10" t="s">
        <v>171</v>
      </c>
      <c r="B2" s="11" t="s">
        <v>172</v>
      </c>
      <c r="C2" s="8" t="s">
        <v>173</v>
      </c>
      <c r="E2" s="11" t="s">
        <v>174</v>
      </c>
      <c r="G2" s="11" t="s">
        <v>172</v>
      </c>
    </row>
    <row r="3" spans="1:7" ht="30">
      <c r="A3" s="10" t="s">
        <v>175</v>
      </c>
      <c r="B3" s="17" t="s">
        <v>176</v>
      </c>
      <c r="C3" s="8" t="s">
        <v>177</v>
      </c>
      <c r="E3" s="12" t="s">
        <v>178</v>
      </c>
      <c r="G3" s="12" t="s">
        <v>179</v>
      </c>
    </row>
    <row r="4" spans="1:7" ht="45">
      <c r="A4" s="10" t="s">
        <v>180</v>
      </c>
      <c r="B4" s="12" t="s">
        <v>181</v>
      </c>
      <c r="C4" s="8" t="s">
        <v>182</v>
      </c>
      <c r="E4" s="12" t="s">
        <v>183</v>
      </c>
      <c r="G4" s="12" t="s">
        <v>184</v>
      </c>
    </row>
    <row r="5" spans="1:7">
      <c r="A5" s="10" t="s">
        <v>185</v>
      </c>
      <c r="B5" s="41" t="s">
        <v>186</v>
      </c>
      <c r="C5" s="8" t="s">
        <v>187</v>
      </c>
      <c r="E5" s="11" t="s">
        <v>188</v>
      </c>
      <c r="G5" s="11" t="s">
        <v>189</v>
      </c>
    </row>
    <row r="6" spans="1:7" ht="30">
      <c r="A6" s="10" t="s">
        <v>190</v>
      </c>
      <c r="B6" s="11" t="s">
        <v>191</v>
      </c>
      <c r="C6" s="8" t="s">
        <v>192</v>
      </c>
      <c r="E6" s="12" t="s">
        <v>193</v>
      </c>
      <c r="G6" s="11" t="s">
        <v>191</v>
      </c>
    </row>
    <row r="7" spans="1:7" ht="30">
      <c r="A7" s="10" t="s">
        <v>194</v>
      </c>
      <c r="B7" s="11" t="s">
        <v>195</v>
      </c>
      <c r="C7" s="8" t="s">
        <v>187</v>
      </c>
      <c r="E7" s="12" t="s">
        <v>196</v>
      </c>
      <c r="G7" s="11" t="s">
        <v>195</v>
      </c>
    </row>
    <row r="8" spans="1:7" ht="30">
      <c r="A8" s="10"/>
      <c r="B8" s="17" t="s">
        <v>197</v>
      </c>
      <c r="E8" s="17" t="s">
        <v>198</v>
      </c>
      <c r="G8" s="17" t="s">
        <v>197</v>
      </c>
    </row>
    <row r="9" spans="1:7">
      <c r="A9" s="10" t="s">
        <v>199</v>
      </c>
      <c r="B9" s="11" t="s">
        <v>200</v>
      </c>
      <c r="C9" s="8" t="s">
        <v>201</v>
      </c>
      <c r="E9" s="11" t="s">
        <v>202</v>
      </c>
      <c r="G9" s="11" t="s">
        <v>200</v>
      </c>
    </row>
    <row r="10" spans="1:7">
      <c r="A10" s="10" t="s">
        <v>203</v>
      </c>
      <c r="B10" s="11" t="s">
        <v>204</v>
      </c>
      <c r="C10" s="8" t="s">
        <v>201</v>
      </c>
      <c r="E10" s="11" t="s">
        <v>205</v>
      </c>
      <c r="G10" s="11" t="s">
        <v>204</v>
      </c>
    </row>
    <row r="11" spans="1:7">
      <c r="A11" s="10" t="s">
        <v>206</v>
      </c>
      <c r="B11" s="11" t="s">
        <v>207</v>
      </c>
      <c r="C11" s="8" t="s">
        <v>201</v>
      </c>
      <c r="E11" s="11" t="s">
        <v>208</v>
      </c>
      <c r="G11" s="11" t="s">
        <v>207</v>
      </c>
    </row>
    <row r="12" spans="1:7">
      <c r="A12" s="10" t="s">
        <v>209</v>
      </c>
      <c r="B12" s="11" t="s">
        <v>210</v>
      </c>
      <c r="C12" s="8" t="s">
        <v>201</v>
      </c>
      <c r="E12" s="11" t="s">
        <v>211</v>
      </c>
      <c r="G12" s="11" t="s">
        <v>210</v>
      </c>
    </row>
    <row r="13" spans="1:7">
      <c r="A13" s="10" t="s">
        <v>212</v>
      </c>
      <c r="B13" s="11" t="s">
        <v>213</v>
      </c>
      <c r="C13" s="8" t="s">
        <v>201</v>
      </c>
      <c r="E13" s="11" t="s">
        <v>214</v>
      </c>
      <c r="G13" s="11" t="s">
        <v>213</v>
      </c>
    </row>
    <row r="14" spans="1:7" ht="28.5" customHeight="1">
      <c r="A14" s="10" t="s">
        <v>215</v>
      </c>
      <c r="B14" s="13" t="s">
        <v>216</v>
      </c>
      <c r="C14" s="8" t="s">
        <v>217</v>
      </c>
      <c r="E14" s="13" t="s">
        <v>218</v>
      </c>
      <c r="F14" s="18" t="s">
        <v>219</v>
      </c>
      <c r="G14" s="13" t="s">
        <v>216</v>
      </c>
    </row>
    <row r="15" spans="1:7">
      <c r="A15" s="10"/>
      <c r="B15" s="11"/>
    </row>
    <row r="16" spans="1:7">
      <c r="A16" s="10"/>
      <c r="B16" s="11"/>
    </row>
    <row r="17" spans="1:3">
      <c r="A17" s="10"/>
      <c r="B17" s="19"/>
    </row>
    <row r="18" spans="1:3">
      <c r="A18" s="10"/>
      <c r="B18" s="11"/>
      <c r="C18" s="44" t="s">
        <v>220</v>
      </c>
    </row>
    <row r="19" spans="1:3">
      <c r="A19" s="10"/>
      <c r="B19" s="11"/>
    </row>
    <row r="20" spans="1:3">
      <c r="A20" s="10"/>
      <c r="B20" s="11"/>
    </row>
    <row r="21" spans="1:3">
      <c r="A21" s="20"/>
      <c r="B21" s="21"/>
    </row>
    <row r="22" spans="1:3">
      <c r="A22" s="10"/>
      <c r="B22" s="15"/>
    </row>
    <row r="23" spans="1:3">
      <c r="A23" s="10"/>
      <c r="B23" s="11"/>
    </row>
    <row r="24" spans="1:3">
      <c r="A24" s="10"/>
      <c r="B24" s="11"/>
    </row>
    <row r="25" spans="1:3">
      <c r="A25" s="10"/>
      <c r="B25" s="11"/>
    </row>
    <row r="26" spans="1:3">
      <c r="A26" s="10"/>
      <c r="B26" s="11"/>
    </row>
    <row r="27" spans="1:3">
      <c r="A27" s="10"/>
      <c r="B27" s="11"/>
    </row>
    <row r="28" spans="1:3">
      <c r="A28" s="10"/>
      <c r="B28" s="15"/>
    </row>
    <row r="29" spans="1:3">
      <c r="A29" s="10"/>
      <c r="B29" s="11"/>
    </row>
    <row r="30" spans="1:3">
      <c r="A30" s="10"/>
      <c r="B30" s="11"/>
    </row>
    <row r="31" spans="1:3">
      <c r="A31" s="10"/>
      <c r="B31" s="11"/>
    </row>
    <row r="32" spans="1:3">
      <c r="A32" s="10"/>
      <c r="B32" s="11"/>
    </row>
    <row r="33" spans="1:2">
      <c r="A33" s="10"/>
      <c r="B33" s="22"/>
    </row>
    <row r="34" spans="1:2">
      <c r="A34" s="10"/>
      <c r="B34" s="11"/>
    </row>
    <row r="35" spans="1:2">
      <c r="A35" s="10"/>
      <c r="B35" s="11"/>
    </row>
    <row r="36" spans="1:2">
      <c r="A36" s="10"/>
      <c r="B36" s="11"/>
    </row>
    <row r="37" spans="1:2">
      <c r="A37" s="10"/>
      <c r="B37" s="11"/>
    </row>
    <row r="38" spans="1:2">
      <c r="A38" s="10"/>
      <c r="B38" s="11"/>
    </row>
    <row r="39" spans="1:2">
      <c r="A39" s="10"/>
      <c r="B39" s="11"/>
    </row>
    <row r="40" spans="1:2">
      <c r="A40" s="10"/>
      <c r="B40" s="11"/>
    </row>
    <row r="41" spans="1:2">
      <c r="A41" s="10"/>
    </row>
    <row r="42" spans="1:2">
      <c r="A42" s="10"/>
      <c r="B42" s="23"/>
    </row>
    <row r="43" spans="1:2">
      <c r="A43" s="10"/>
      <c r="B43" s="11"/>
    </row>
    <row r="44" spans="1:2">
      <c r="A44" s="10"/>
      <c r="B44" s="11"/>
    </row>
    <row r="45" spans="1:2">
      <c r="A45" s="24"/>
      <c r="B45" s="2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zoomScaleNormal="100" workbookViewId="0">
      <selection activeCell="C3" sqref="C3"/>
    </sheetView>
  </sheetViews>
  <sheetFormatPr defaultRowHeight="15"/>
  <cols>
    <col min="1" max="1" width="16.125" style="27" customWidth="1"/>
    <col min="2" max="2" width="123.875" style="27" bestFit="1" customWidth="1"/>
    <col min="3" max="3" width="127" style="27" bestFit="1" customWidth="1"/>
    <col min="4" max="4" width="52.5" style="27" bestFit="1" customWidth="1"/>
    <col min="5" max="5" width="39.125" style="27" customWidth="1"/>
    <col min="6" max="6" width="131.25" style="27" bestFit="1" customWidth="1"/>
    <col min="7" max="16384" width="9" style="27"/>
  </cols>
  <sheetData>
    <row r="1" spans="1:6">
      <c r="A1" s="30" t="s">
        <v>0</v>
      </c>
      <c r="B1" s="30" t="s">
        <v>1</v>
      </c>
      <c r="C1" s="30" t="s">
        <v>2</v>
      </c>
      <c r="D1" s="30" t="s">
        <v>3</v>
      </c>
      <c r="E1" s="30" t="s">
        <v>4</v>
      </c>
      <c r="F1" s="30" t="s">
        <v>5</v>
      </c>
    </row>
    <row r="2" spans="1:6">
      <c r="A2" s="27" t="s">
        <v>221</v>
      </c>
      <c r="B2" s="27" t="s">
        <v>222</v>
      </c>
      <c r="D2" s="27" t="s">
        <v>223</v>
      </c>
      <c r="E2" s="8" t="s">
        <v>224</v>
      </c>
      <c r="F2" s="27" t="s">
        <v>225</v>
      </c>
    </row>
    <row r="3" spans="1:6">
      <c r="A3" s="27" t="s">
        <v>226</v>
      </c>
      <c r="B3" s="27" t="s">
        <v>227</v>
      </c>
      <c r="C3" s="27" t="s">
        <v>228</v>
      </c>
      <c r="E3" s="8" t="s">
        <v>229</v>
      </c>
      <c r="F3" s="27" t="s">
        <v>230</v>
      </c>
    </row>
    <row r="4" spans="1:6">
      <c r="A4" s="27" t="s">
        <v>231</v>
      </c>
      <c r="B4" s="27" t="s">
        <v>232</v>
      </c>
      <c r="C4" s="27" t="s">
        <v>233</v>
      </c>
      <c r="D4" s="27" t="s">
        <v>234</v>
      </c>
      <c r="E4" s="8" t="s">
        <v>235</v>
      </c>
      <c r="F4" s="27" t="s">
        <v>236</v>
      </c>
    </row>
    <row r="5" spans="1:6">
      <c r="A5" s="27" t="s">
        <v>237</v>
      </c>
      <c r="B5" s="27" t="s">
        <v>238</v>
      </c>
      <c r="C5" s="27" t="s">
        <v>239</v>
      </c>
      <c r="E5" s="8" t="s">
        <v>240</v>
      </c>
      <c r="F5" s="27" t="s">
        <v>241</v>
      </c>
    </row>
    <row r="6" spans="1:6">
      <c r="A6" s="31" t="s">
        <v>242</v>
      </c>
      <c r="B6" s="27" t="s">
        <v>243</v>
      </c>
      <c r="D6" s="27" t="s">
        <v>223</v>
      </c>
      <c r="E6" s="8" t="s">
        <v>244</v>
      </c>
      <c r="F6" s="27" t="s">
        <v>245</v>
      </c>
    </row>
    <row r="7" spans="1:6">
      <c r="A7" s="31" t="s">
        <v>246</v>
      </c>
      <c r="B7" s="27" t="s">
        <v>247</v>
      </c>
      <c r="C7" s="27" t="s">
        <v>248</v>
      </c>
      <c r="E7" s="8" t="s">
        <v>249</v>
      </c>
      <c r="F7" s="27" t="s">
        <v>250</v>
      </c>
    </row>
    <row r="8" spans="1:6">
      <c r="A8" s="31" t="s">
        <v>251</v>
      </c>
      <c r="B8" s="27" t="s">
        <v>252</v>
      </c>
      <c r="C8" s="27" t="s">
        <v>233</v>
      </c>
      <c r="D8" s="27" t="s">
        <v>253</v>
      </c>
      <c r="E8" s="8" t="s">
        <v>254</v>
      </c>
      <c r="F8" s="27" t="s">
        <v>255</v>
      </c>
    </row>
    <row r="9" spans="1:6">
      <c r="A9" s="31" t="s">
        <v>256</v>
      </c>
      <c r="B9" s="27" t="s">
        <v>257</v>
      </c>
      <c r="C9" s="27" t="s">
        <v>239</v>
      </c>
      <c r="E9" s="8" t="s">
        <v>258</v>
      </c>
      <c r="F9" s="31" t="s">
        <v>259</v>
      </c>
    </row>
    <row r="10" spans="1:6">
      <c r="A10" s="31" t="s">
        <v>260</v>
      </c>
      <c r="B10" s="27" t="s">
        <v>261</v>
      </c>
      <c r="D10" s="27" t="s">
        <v>262</v>
      </c>
      <c r="E10" s="8" t="s">
        <v>263</v>
      </c>
      <c r="F10" s="27" t="s">
        <v>264</v>
      </c>
    </row>
    <row r="19" spans="2:2">
      <c r="B19" s="3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election activeCell="C23" sqref="C23"/>
    </sheetView>
  </sheetViews>
  <sheetFormatPr defaultRowHeight="15"/>
  <cols>
    <col min="1" max="1" width="17.25" style="8" bestFit="1" customWidth="1"/>
    <col min="2" max="2" width="17.125" style="8" bestFit="1" customWidth="1"/>
    <col min="3" max="3" width="63.875" style="8" customWidth="1"/>
    <col min="4" max="4" width="9" style="8"/>
    <col min="5" max="5" width="43.125" style="8" bestFit="1" customWidth="1"/>
    <col min="6" max="16384" width="9" style="8"/>
  </cols>
  <sheetData>
    <row r="1" spans="1:6">
      <c r="A1" s="30" t="s">
        <v>0</v>
      </c>
      <c r="B1" s="30" t="s">
        <v>1</v>
      </c>
      <c r="C1" s="30" t="s">
        <v>2</v>
      </c>
      <c r="D1" s="30" t="s">
        <v>3</v>
      </c>
      <c r="E1" s="30" t="s">
        <v>4</v>
      </c>
      <c r="F1" s="30" t="s">
        <v>5</v>
      </c>
    </row>
    <row r="2" spans="1:6">
      <c r="A2" s="8" t="s">
        <v>265</v>
      </c>
      <c r="B2" s="8" t="s">
        <v>266</v>
      </c>
      <c r="C2" s="8" t="s">
        <v>267</v>
      </c>
      <c r="E2" s="8" t="s">
        <v>268</v>
      </c>
      <c r="F2" s="8" t="s">
        <v>269</v>
      </c>
    </row>
    <row r="3" spans="1:6">
      <c r="A3" s="8" t="s">
        <v>270</v>
      </c>
      <c r="B3" s="8" t="s">
        <v>271</v>
      </c>
      <c r="C3" s="8" t="s">
        <v>267</v>
      </c>
      <c r="E3" s="8" t="s">
        <v>272</v>
      </c>
      <c r="F3" s="8" t="s">
        <v>273</v>
      </c>
    </row>
    <row r="4" spans="1:6">
      <c r="A4" s="8" t="s">
        <v>274</v>
      </c>
      <c r="B4" s="8" t="s">
        <v>275</v>
      </c>
      <c r="C4" s="8" t="s">
        <v>267</v>
      </c>
      <c r="E4" s="8" t="s">
        <v>276</v>
      </c>
      <c r="F4" s="8" t="s">
        <v>277</v>
      </c>
    </row>
    <row r="5" spans="1:6">
      <c r="A5" s="8" t="s">
        <v>278</v>
      </c>
      <c r="B5" s="8" t="s">
        <v>279</v>
      </c>
      <c r="C5" s="8" t="s">
        <v>267</v>
      </c>
      <c r="E5" s="8" t="s">
        <v>280</v>
      </c>
      <c r="F5" s="8" t="s">
        <v>281</v>
      </c>
    </row>
    <row r="6" spans="1:6">
      <c r="A6" s="8" t="s">
        <v>282</v>
      </c>
      <c r="B6" s="8" t="s">
        <v>283</v>
      </c>
      <c r="C6" s="8" t="s">
        <v>267</v>
      </c>
      <c r="E6" s="8" t="s">
        <v>284</v>
      </c>
      <c r="F6" s="8" t="s">
        <v>285</v>
      </c>
    </row>
    <row r="7" spans="1:6">
      <c r="A7" s="8" t="s">
        <v>286</v>
      </c>
      <c r="B7" s="8" t="s">
        <v>287</v>
      </c>
      <c r="C7" s="8" t="s">
        <v>267</v>
      </c>
      <c r="E7" s="8" t="s">
        <v>288</v>
      </c>
      <c r="F7" s="8" t="s">
        <v>289</v>
      </c>
    </row>
    <row r="8" spans="1:6">
      <c r="A8" s="8" t="s">
        <v>290</v>
      </c>
      <c r="B8" s="8" t="s">
        <v>291</v>
      </c>
      <c r="C8" s="8" t="s">
        <v>292</v>
      </c>
      <c r="E8" s="8" t="s">
        <v>293</v>
      </c>
      <c r="F8" s="8" t="s">
        <v>294</v>
      </c>
    </row>
    <row r="9" spans="1:6">
      <c r="A9" s="8" t="s">
        <v>295</v>
      </c>
      <c r="B9" s="8" t="s">
        <v>266</v>
      </c>
      <c r="C9" s="8" t="s">
        <v>267</v>
      </c>
      <c r="E9" s="8" t="s">
        <v>268</v>
      </c>
      <c r="F9" s="8" t="s">
        <v>269</v>
      </c>
    </row>
    <row r="10" spans="1:6">
      <c r="A10" s="8" t="s">
        <v>296</v>
      </c>
      <c r="B10" s="8" t="s">
        <v>297</v>
      </c>
      <c r="C10" s="8" t="s">
        <v>267</v>
      </c>
      <c r="E10" s="8" t="s">
        <v>298</v>
      </c>
      <c r="F10" s="8" t="s">
        <v>299</v>
      </c>
    </row>
    <row r="11" spans="1:6">
      <c r="A11" s="8" t="s">
        <v>300</v>
      </c>
      <c r="B11" s="8" t="s">
        <v>301</v>
      </c>
      <c r="C11" s="8" t="s">
        <v>267</v>
      </c>
      <c r="E11" s="8" t="s">
        <v>302</v>
      </c>
      <c r="F11" s="8" t="s">
        <v>303</v>
      </c>
    </row>
    <row r="12" spans="1:6">
      <c r="A12" s="8" t="s">
        <v>304</v>
      </c>
      <c r="B12" s="8" t="s">
        <v>279</v>
      </c>
      <c r="C12" s="8" t="s">
        <v>267</v>
      </c>
      <c r="E12" s="8" t="s">
        <v>305</v>
      </c>
      <c r="F12" s="8" t="s">
        <v>306</v>
      </c>
    </row>
    <row r="13" spans="1:6">
      <c r="A13" s="8" t="s">
        <v>307</v>
      </c>
      <c r="B13" s="8" t="s">
        <v>283</v>
      </c>
      <c r="C13" s="8" t="s">
        <v>267</v>
      </c>
      <c r="E13" s="8" t="s">
        <v>284</v>
      </c>
      <c r="F13" s="8" t="s">
        <v>308</v>
      </c>
    </row>
    <row r="14" spans="1:6">
      <c r="A14" s="8" t="s">
        <v>309</v>
      </c>
      <c r="B14" s="8" t="s">
        <v>310</v>
      </c>
      <c r="C14" s="8" t="s">
        <v>267</v>
      </c>
      <c r="E14" s="8" t="s">
        <v>311</v>
      </c>
      <c r="F14" s="8" t="s">
        <v>312</v>
      </c>
    </row>
    <row r="15" spans="1:6">
      <c r="A15" s="8" t="s">
        <v>313</v>
      </c>
      <c r="B15" s="8" t="s">
        <v>287</v>
      </c>
      <c r="C15" s="8" t="s">
        <v>267</v>
      </c>
      <c r="E15" s="8" t="s">
        <v>288</v>
      </c>
      <c r="F15" s="8" t="s">
        <v>289</v>
      </c>
    </row>
    <row r="16" spans="1:6">
      <c r="A16" s="8" t="s">
        <v>314</v>
      </c>
      <c r="B16" s="8" t="s">
        <v>315</v>
      </c>
      <c r="C16" s="8" t="s">
        <v>316</v>
      </c>
      <c r="E16" s="8" t="s">
        <v>317</v>
      </c>
      <c r="F16" s="8" t="s">
        <v>318</v>
      </c>
    </row>
    <row r="21" spans="3:3">
      <c r="C21" s="44" t="s">
        <v>319</v>
      </c>
    </row>
    <row r="22" spans="3:3">
      <c r="C22" s="4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
  <sheetViews>
    <sheetView workbookViewId="0">
      <selection activeCell="B11" sqref="B11"/>
    </sheetView>
  </sheetViews>
  <sheetFormatPr defaultRowHeight="15"/>
  <cols>
    <col min="1" max="1" width="13.875" style="8" bestFit="1" customWidth="1"/>
    <col min="2" max="2" width="18.75" style="8" bestFit="1" customWidth="1"/>
    <col min="3" max="3" width="71.875" style="8" bestFit="1" customWidth="1"/>
    <col min="4" max="4" width="9" style="8"/>
    <col min="5" max="5" width="67.125" style="8" bestFit="1" customWidth="1"/>
    <col min="6" max="16384" width="9" style="8"/>
  </cols>
  <sheetData>
    <row r="1" spans="1:6">
      <c r="A1" s="30" t="s">
        <v>0</v>
      </c>
      <c r="B1" s="30" t="s">
        <v>1</v>
      </c>
      <c r="C1" s="30" t="s">
        <v>2</v>
      </c>
      <c r="D1" s="30" t="s">
        <v>3</v>
      </c>
      <c r="E1" s="30" t="s">
        <v>4</v>
      </c>
      <c r="F1" s="30" t="s">
        <v>5</v>
      </c>
    </row>
    <row r="2" spans="1:6">
      <c r="A2" s="8" t="s">
        <v>320</v>
      </c>
      <c r="B2" s="8" t="s">
        <v>321</v>
      </c>
      <c r="C2" s="8" t="s">
        <v>322</v>
      </c>
      <c r="E2" s="8" t="s">
        <v>323</v>
      </c>
      <c r="F2" s="8" t="s">
        <v>324</v>
      </c>
    </row>
    <row r="3" spans="1:6">
      <c r="A3" s="8" t="s">
        <v>325</v>
      </c>
      <c r="B3" s="8" t="s">
        <v>326</v>
      </c>
      <c r="C3" s="8" t="s">
        <v>327</v>
      </c>
      <c r="E3" s="8" t="s">
        <v>328</v>
      </c>
      <c r="F3" s="8" t="s">
        <v>329</v>
      </c>
    </row>
    <row r="4" spans="1:6">
      <c r="A4" s="8" t="s">
        <v>330</v>
      </c>
      <c r="B4" s="8" t="s">
        <v>331</v>
      </c>
      <c r="C4" s="8" t="s">
        <v>332</v>
      </c>
      <c r="E4" s="33" t="s">
        <v>333</v>
      </c>
      <c r="F4" s="8" t="s">
        <v>334</v>
      </c>
    </row>
    <row r="5" spans="1:6" ht="15.75" thickBot="1">
      <c r="A5" s="8" t="s">
        <v>335</v>
      </c>
      <c r="B5" s="8" t="s">
        <v>336</v>
      </c>
      <c r="C5" s="8" t="s">
        <v>337</v>
      </c>
      <c r="E5" s="8" t="s">
        <v>338</v>
      </c>
      <c r="F5" s="8" t="s">
        <v>339</v>
      </c>
    </row>
    <row r="6" spans="1:6" ht="30.75" thickBot="1">
      <c r="A6" s="8" t="s">
        <v>340</v>
      </c>
      <c r="B6" s="8" t="s">
        <v>341</v>
      </c>
      <c r="C6" s="8" t="s">
        <v>337</v>
      </c>
      <c r="E6" s="32" t="s">
        <v>342</v>
      </c>
      <c r="F6" s="8" t="s">
        <v>343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zoomScale="110" zoomScaleNormal="110" workbookViewId="0">
      <selection activeCell="A20" sqref="A20"/>
    </sheetView>
  </sheetViews>
  <sheetFormatPr defaultRowHeight="15"/>
  <cols>
    <col min="1" max="1" width="19.5" style="8" bestFit="1" customWidth="1"/>
    <col min="2" max="2" width="38.875" style="8" customWidth="1"/>
    <col min="3" max="3" width="57.375" style="8" bestFit="1" customWidth="1"/>
    <col min="4" max="4" width="6.875" style="8" bestFit="1" customWidth="1"/>
    <col min="5" max="5" width="121.75" style="8" bestFit="1" customWidth="1"/>
    <col min="6" max="16384" width="9" style="8"/>
  </cols>
  <sheetData>
    <row r="1" spans="1:6" ht="15.75" thickBot="1">
      <c r="A1" s="30" t="s">
        <v>0</v>
      </c>
      <c r="B1" s="30" t="s">
        <v>1</v>
      </c>
      <c r="C1" s="30" t="s">
        <v>2</v>
      </c>
      <c r="D1" s="30" t="s">
        <v>3</v>
      </c>
      <c r="E1" s="30" t="s">
        <v>4</v>
      </c>
      <c r="F1" s="30" t="s">
        <v>5</v>
      </c>
    </row>
    <row r="2" spans="1:6" ht="15.75" thickBot="1">
      <c r="A2" s="8" t="s">
        <v>344</v>
      </c>
      <c r="B2" s="32" t="s">
        <v>345</v>
      </c>
      <c r="C2" s="8" t="s">
        <v>346</v>
      </c>
      <c r="E2" s="32" t="s">
        <v>347</v>
      </c>
      <c r="F2" s="8" t="s">
        <v>348</v>
      </c>
    </row>
    <row r="3" spans="1:6">
      <c r="A3" s="8" t="s">
        <v>349</v>
      </c>
      <c r="B3" s="8" t="s">
        <v>350</v>
      </c>
      <c r="D3" s="8" t="s">
        <v>351</v>
      </c>
      <c r="E3" s="33" t="s">
        <v>352</v>
      </c>
      <c r="F3" s="8" t="s">
        <v>353</v>
      </c>
    </row>
    <row r="4" spans="1:6">
      <c r="A4" s="8" t="s">
        <v>354</v>
      </c>
      <c r="B4" s="8" t="s">
        <v>355</v>
      </c>
      <c r="D4" s="8" t="s">
        <v>351</v>
      </c>
      <c r="E4" s="8" t="s">
        <v>356</v>
      </c>
      <c r="F4" s="8" t="s">
        <v>357</v>
      </c>
    </row>
    <row r="5" spans="1:6">
      <c r="A5" s="8" t="s">
        <v>358</v>
      </c>
      <c r="B5" s="8" t="s">
        <v>359</v>
      </c>
      <c r="D5" s="8" t="s">
        <v>351</v>
      </c>
      <c r="E5" s="8" t="s">
        <v>360</v>
      </c>
      <c r="F5" s="8" t="s">
        <v>361</v>
      </c>
    </row>
    <row r="6" spans="1:6">
      <c r="A6" s="8" t="s">
        <v>362</v>
      </c>
      <c r="B6" s="8" t="s">
        <v>363</v>
      </c>
      <c r="C6" s="8" t="s">
        <v>364</v>
      </c>
      <c r="E6" s="33" t="s">
        <v>365</v>
      </c>
      <c r="F6" s="8" t="s">
        <v>366</v>
      </c>
    </row>
    <row r="7" spans="1:6">
      <c r="A7" s="8" t="s">
        <v>367</v>
      </c>
      <c r="B7" s="8" t="s">
        <v>368</v>
      </c>
      <c r="C7" s="8" t="s">
        <v>369</v>
      </c>
      <c r="E7" s="40" t="s">
        <v>370</v>
      </c>
      <c r="F7" s="8" t="s">
        <v>368</v>
      </c>
    </row>
    <row r="8" spans="1:6">
      <c r="A8" s="8" t="s">
        <v>371</v>
      </c>
      <c r="B8" s="8" t="s">
        <v>372</v>
      </c>
      <c r="C8" s="8" t="s">
        <v>369</v>
      </c>
      <c r="E8" s="40" t="s">
        <v>373</v>
      </c>
      <c r="F8" s="8" t="s">
        <v>372</v>
      </c>
    </row>
    <row r="9" spans="1:6">
      <c r="A9" s="8" t="s">
        <v>374</v>
      </c>
      <c r="B9" s="8" t="s">
        <v>375</v>
      </c>
      <c r="C9" s="8" t="s">
        <v>369</v>
      </c>
      <c r="E9" s="40" t="s">
        <v>376</v>
      </c>
      <c r="F9" s="8" t="s">
        <v>375</v>
      </c>
    </row>
    <row r="10" spans="1:6">
      <c r="A10" s="8" t="s">
        <v>377</v>
      </c>
      <c r="B10" s="8" t="s">
        <v>378</v>
      </c>
      <c r="C10" s="8" t="s">
        <v>369</v>
      </c>
      <c r="E10" s="40" t="s">
        <v>379</v>
      </c>
      <c r="F10" s="8" t="s">
        <v>378</v>
      </c>
    </row>
    <row r="11" spans="1:6">
      <c r="A11" s="8" t="s">
        <v>380</v>
      </c>
      <c r="B11" s="8" t="s">
        <v>381</v>
      </c>
      <c r="C11" s="8" t="s">
        <v>369</v>
      </c>
      <c r="E11" s="40" t="s">
        <v>382</v>
      </c>
      <c r="F11" s="8" t="s">
        <v>381</v>
      </c>
    </row>
    <row r="12" spans="1:6">
      <c r="A12" s="8" t="s">
        <v>383</v>
      </c>
      <c r="B12" s="8" t="s">
        <v>384</v>
      </c>
      <c r="C12" s="8" t="s">
        <v>369</v>
      </c>
      <c r="E12" s="40" t="s">
        <v>385</v>
      </c>
      <c r="F12" s="8" t="s">
        <v>384</v>
      </c>
    </row>
    <row r="13" spans="1:6">
      <c r="A13" s="8" t="s">
        <v>386</v>
      </c>
      <c r="B13" s="8" t="s">
        <v>387</v>
      </c>
      <c r="C13" s="8" t="s">
        <v>369</v>
      </c>
      <c r="E13" s="40" t="s">
        <v>388</v>
      </c>
      <c r="F13" s="8" t="s">
        <v>387</v>
      </c>
    </row>
    <row r="14" spans="1:6">
      <c r="A14" s="8" t="s">
        <v>389</v>
      </c>
      <c r="B14" s="8" t="s">
        <v>390</v>
      </c>
      <c r="C14" s="8" t="s">
        <v>369</v>
      </c>
      <c r="E14" s="40" t="s">
        <v>391</v>
      </c>
      <c r="F14" s="8" t="s">
        <v>390</v>
      </c>
    </row>
    <row r="15" spans="1:6">
      <c r="A15" s="8" t="s">
        <v>392</v>
      </c>
      <c r="B15" s="8" t="s">
        <v>393</v>
      </c>
      <c r="C15" s="8" t="s">
        <v>369</v>
      </c>
      <c r="E15" s="40" t="s">
        <v>393</v>
      </c>
      <c r="F15" s="8" t="s">
        <v>393</v>
      </c>
    </row>
    <row r="16" spans="1:6">
      <c r="A16" s="8" t="s">
        <v>394</v>
      </c>
      <c r="B16" s="8" t="s">
        <v>395</v>
      </c>
      <c r="C16" s="8" t="s">
        <v>369</v>
      </c>
      <c r="E16" s="40" t="s">
        <v>396</v>
      </c>
      <c r="F16" s="8" t="s">
        <v>395</v>
      </c>
    </row>
    <row r="17" spans="1:6">
      <c r="A17" s="8" t="s">
        <v>397</v>
      </c>
      <c r="B17" s="8" t="s">
        <v>289</v>
      </c>
      <c r="C17" s="8" t="s">
        <v>369</v>
      </c>
      <c r="E17" s="35" t="s">
        <v>288</v>
      </c>
      <c r="F17" s="8" t="s">
        <v>289</v>
      </c>
    </row>
    <row r="18" spans="1:6">
      <c r="A18" s="8" t="s">
        <v>398</v>
      </c>
      <c r="B18" s="8" t="s">
        <v>399</v>
      </c>
      <c r="C18" s="8" t="s">
        <v>364</v>
      </c>
      <c r="E18" s="34" t="s">
        <v>400</v>
      </c>
      <c r="F18" s="33" t="s">
        <v>401</v>
      </c>
    </row>
    <row r="19" spans="1:6">
      <c r="A19" s="8" t="s">
        <v>402</v>
      </c>
      <c r="B19" s="8" t="s">
        <v>403</v>
      </c>
      <c r="D19" s="8" t="s">
        <v>404</v>
      </c>
      <c r="E19" s="33" t="s">
        <v>405</v>
      </c>
      <c r="F19" s="33" t="s">
        <v>406</v>
      </c>
    </row>
    <row r="20" spans="1:6">
      <c r="A20" s="8" t="s">
        <v>407</v>
      </c>
      <c r="B20" s="8" t="s">
        <v>408</v>
      </c>
      <c r="C20" s="8" t="s">
        <v>364</v>
      </c>
      <c r="E20" s="8" t="s">
        <v>409</v>
      </c>
      <c r="F20" s="33" t="s">
        <v>410</v>
      </c>
    </row>
    <row r="21" spans="1:6">
      <c r="A21" s="8" t="s">
        <v>411</v>
      </c>
      <c r="B21" s="8" t="s">
        <v>412</v>
      </c>
      <c r="C21" s="8" t="s">
        <v>364</v>
      </c>
      <c r="E21" s="8" t="s">
        <v>413</v>
      </c>
      <c r="F21" s="33" t="s">
        <v>414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
  <sheetViews>
    <sheetView workbookViewId="0">
      <selection activeCell="H28" sqref="H28"/>
    </sheetView>
  </sheetViews>
  <sheetFormatPr defaultRowHeight="12.75"/>
  <cols>
    <col min="2" max="2" width="30.75" bestFit="1" customWidth="1"/>
  </cols>
  <sheetData>
    <row r="1" spans="1:6" s="2" customFormat="1">
      <c r="A1" s="26" t="s">
        <v>415</v>
      </c>
      <c r="B1" s="26" t="s">
        <v>1</v>
      </c>
      <c r="C1" s="26" t="s">
        <v>2</v>
      </c>
      <c r="D1" s="26" t="s">
        <v>3</v>
      </c>
      <c r="E1" s="26" t="s">
        <v>4</v>
      </c>
      <c r="F1" s="26" t="s">
        <v>5</v>
      </c>
    </row>
    <row r="2" spans="1:6">
      <c r="A2" t="s">
        <v>416</v>
      </c>
      <c r="B2" t="s">
        <v>417</v>
      </c>
      <c r="C2" t="s">
        <v>337</v>
      </c>
      <c r="E2" t="s">
        <v>418</v>
      </c>
      <c r="F2" t="s">
        <v>419</v>
      </c>
    </row>
    <row r="3" spans="1:6">
      <c r="A3" t="s">
        <v>420</v>
      </c>
      <c r="B3" t="s">
        <v>421</v>
      </c>
      <c r="C3" t="s">
        <v>337</v>
      </c>
      <c r="E3" t="s">
        <v>422</v>
      </c>
      <c r="F3" t="s">
        <v>423</v>
      </c>
    </row>
    <row r="4" spans="1:6">
      <c r="A4" t="s">
        <v>424</v>
      </c>
      <c r="B4" t="s">
        <v>425</v>
      </c>
      <c r="C4" t="s">
        <v>337</v>
      </c>
      <c r="E4" t="s">
        <v>426</v>
      </c>
      <c r="F4" t="s">
        <v>427</v>
      </c>
    </row>
    <row r="5" spans="1:6">
      <c r="A5" t="s">
        <v>428</v>
      </c>
      <c r="B5" t="s">
        <v>429</v>
      </c>
      <c r="C5" t="s">
        <v>337</v>
      </c>
      <c r="E5" t="s">
        <v>430</v>
      </c>
      <c r="F5" t="s">
        <v>431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7"/>
  <sheetViews>
    <sheetView workbookViewId="0">
      <selection activeCell="D8" sqref="D8"/>
    </sheetView>
  </sheetViews>
  <sheetFormatPr defaultRowHeight="15"/>
  <cols>
    <col min="1" max="1" width="14.375" style="8" bestFit="1" customWidth="1"/>
    <col min="2" max="2" width="45" style="8" customWidth="1"/>
    <col min="3" max="3" width="24.25" style="8" bestFit="1" customWidth="1"/>
    <col min="4" max="4" width="12" style="8" customWidth="1"/>
    <col min="5" max="5" width="43.625" style="8" customWidth="1"/>
    <col min="6" max="6" width="30.75" style="8" customWidth="1"/>
    <col min="7" max="16384" width="9" style="8"/>
  </cols>
  <sheetData>
    <row r="1" spans="1:7">
      <c r="A1" s="29" t="s">
        <v>415</v>
      </c>
      <c r="B1" s="29" t="s">
        <v>1</v>
      </c>
      <c r="C1" s="29" t="s">
        <v>2</v>
      </c>
      <c r="D1" s="29" t="s">
        <v>3</v>
      </c>
      <c r="E1" s="29" t="s">
        <v>4</v>
      </c>
      <c r="F1" s="29" t="s">
        <v>5</v>
      </c>
      <c r="G1" s="29" t="s">
        <v>169</v>
      </c>
    </row>
    <row r="2" spans="1:7">
      <c r="A2" s="8" t="s">
        <v>432</v>
      </c>
      <c r="B2" s="8" t="s">
        <v>433</v>
      </c>
      <c r="C2" s="8" t="s">
        <v>217</v>
      </c>
      <c r="E2" s="8" t="s">
        <v>434</v>
      </c>
      <c r="F2" s="8" t="s">
        <v>433</v>
      </c>
    </row>
    <row r="3" spans="1:7">
      <c r="A3" s="8" t="s">
        <v>435</v>
      </c>
      <c r="B3" s="8" t="s">
        <v>436</v>
      </c>
      <c r="C3" s="29"/>
      <c r="D3" s="8" t="s">
        <v>437</v>
      </c>
      <c r="E3" s="8" t="s">
        <v>438</v>
      </c>
      <c r="F3" s="8" t="s">
        <v>439</v>
      </c>
      <c r="G3" s="8" t="s">
        <v>440</v>
      </c>
    </row>
    <row r="4" spans="1:7">
      <c r="A4" s="8" t="s">
        <v>441</v>
      </c>
      <c r="B4" s="8" t="s">
        <v>442</v>
      </c>
      <c r="D4" s="8" t="s">
        <v>437</v>
      </c>
      <c r="E4" s="8" t="s">
        <v>443</v>
      </c>
      <c r="F4" s="8" t="s">
        <v>444</v>
      </c>
      <c r="G4" s="8" t="s">
        <v>440</v>
      </c>
    </row>
    <row r="5" spans="1:7">
      <c r="A5" s="11" t="s">
        <v>445</v>
      </c>
      <c r="B5" s="12" t="s">
        <v>446</v>
      </c>
      <c r="C5" s="8" t="s">
        <v>217</v>
      </c>
      <c r="E5" s="12" t="s">
        <v>447</v>
      </c>
      <c r="F5" s="12" t="s">
        <v>446</v>
      </c>
    </row>
    <row r="6" spans="1:7">
      <c r="A6" s="11" t="s">
        <v>448</v>
      </c>
      <c r="B6" s="12" t="s">
        <v>449</v>
      </c>
      <c r="C6" s="8" t="s">
        <v>217</v>
      </c>
      <c r="E6" s="12" t="s">
        <v>450</v>
      </c>
      <c r="F6" s="12" t="s">
        <v>449</v>
      </c>
    </row>
    <row r="7" spans="1:7">
      <c r="A7" s="10" t="s">
        <v>451</v>
      </c>
      <c r="B7" s="10" t="s">
        <v>452</v>
      </c>
      <c r="C7" s="8" t="s">
        <v>217</v>
      </c>
      <c r="E7" s="8" t="s">
        <v>453</v>
      </c>
      <c r="F7" s="10" t="s">
        <v>454</v>
      </c>
    </row>
    <row r="8" spans="1:7">
      <c r="A8" s="11"/>
      <c r="B8" s="14"/>
    </row>
    <row r="10" spans="1:7">
      <c r="A10" s="11"/>
      <c r="B10" s="15"/>
    </row>
    <row r="11" spans="1:7">
      <c r="A11" s="11"/>
    </row>
    <row r="12" spans="1:7">
      <c r="A12" s="11"/>
      <c r="B12" s="14"/>
    </row>
    <row r="13" spans="1:7">
      <c r="A13" s="10"/>
      <c r="B13" s="16"/>
    </row>
    <row r="17" spans="5:5">
      <c r="E17" s="8">
        <f>--General!A27</f>
        <v>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workbookViewId="0">
      <selection activeCell="C16" sqref="C16"/>
    </sheetView>
  </sheetViews>
  <sheetFormatPr defaultRowHeight="12.75"/>
  <cols>
    <col min="1" max="1" width="14.375" style="2" bestFit="1" customWidth="1"/>
    <col min="2" max="2" width="41.875" style="2" bestFit="1" customWidth="1"/>
    <col min="3" max="3" width="132.625" style="2" bestFit="1" customWidth="1"/>
    <col min="4" max="4" width="20.125" style="2" customWidth="1"/>
    <col min="5" max="5" width="61.125" style="2" customWidth="1"/>
    <col min="6" max="6" width="83.75" style="2" bestFit="1" customWidth="1"/>
    <col min="7" max="16384" width="9" style="2"/>
  </cols>
  <sheetData>
    <row r="1" spans="1:6">
      <c r="A1" s="26" t="s">
        <v>415</v>
      </c>
      <c r="B1" s="26" t="s">
        <v>1</v>
      </c>
      <c r="C1" s="26" t="s">
        <v>2</v>
      </c>
      <c r="D1" s="26" t="s">
        <v>3</v>
      </c>
      <c r="E1" s="26" t="s">
        <v>4</v>
      </c>
      <c r="F1" s="26" t="s">
        <v>5</v>
      </c>
    </row>
    <row r="2" spans="1:6" ht="15">
      <c r="A2" s="36" t="s">
        <v>455</v>
      </c>
      <c r="B2" s="11" t="s">
        <v>456</v>
      </c>
      <c r="C2" s="11" t="s">
        <v>457</v>
      </c>
      <c r="D2" s="11"/>
      <c r="E2" s="11" t="s">
        <v>458</v>
      </c>
      <c r="F2" s="11" t="s">
        <v>459</v>
      </c>
    </row>
    <row r="3" spans="1:6" ht="15">
      <c r="A3" s="36" t="s">
        <v>460</v>
      </c>
      <c r="B3" s="11" t="s">
        <v>461</v>
      </c>
      <c r="C3" s="11" t="s">
        <v>457</v>
      </c>
      <c r="D3" s="11"/>
      <c r="E3" s="11" t="s">
        <v>462</v>
      </c>
      <c r="F3" s="11" t="s">
        <v>461</v>
      </c>
    </row>
    <row r="4" spans="1:6" ht="30">
      <c r="A4" s="36" t="s">
        <v>463</v>
      </c>
      <c r="B4" s="11" t="s">
        <v>464</v>
      </c>
      <c r="C4" s="11" t="s">
        <v>457</v>
      </c>
      <c r="D4" s="11"/>
      <c r="E4" s="12" t="s">
        <v>465</v>
      </c>
      <c r="F4" s="11" t="s">
        <v>464</v>
      </c>
    </row>
    <row r="5" spans="1:6" ht="15">
      <c r="A5" s="36" t="s">
        <v>466</v>
      </c>
      <c r="B5" s="11" t="s">
        <v>467</v>
      </c>
      <c r="C5" s="11" t="s">
        <v>468</v>
      </c>
      <c r="D5" s="11"/>
      <c r="E5" s="11" t="s">
        <v>469</v>
      </c>
      <c r="F5" s="11" t="s">
        <v>470</v>
      </c>
    </row>
    <row r="6" spans="1:6" ht="45">
      <c r="A6" s="36" t="s">
        <v>471</v>
      </c>
      <c r="B6" s="11" t="s">
        <v>472</v>
      </c>
      <c r="C6" s="11" t="s">
        <v>473</v>
      </c>
      <c r="D6" s="11"/>
      <c r="E6" s="12" t="s">
        <v>474</v>
      </c>
      <c r="F6" s="11" t="s">
        <v>475</v>
      </c>
    </row>
    <row r="7" spans="1:6" ht="30">
      <c r="A7" s="36" t="s">
        <v>476</v>
      </c>
      <c r="B7" s="11" t="s">
        <v>477</v>
      </c>
      <c r="C7" s="11" t="s">
        <v>478</v>
      </c>
      <c r="D7" s="11"/>
      <c r="E7" s="12" t="s">
        <v>479</v>
      </c>
      <c r="F7" s="11" t="s">
        <v>480</v>
      </c>
    </row>
    <row r="8" spans="1:6" ht="15">
      <c r="A8" s="36" t="s">
        <v>481</v>
      </c>
      <c r="B8" s="11" t="s">
        <v>482</v>
      </c>
      <c r="C8" s="11" t="s">
        <v>483</v>
      </c>
      <c r="D8" s="11"/>
      <c r="E8" s="12" t="s">
        <v>484</v>
      </c>
      <c r="F8" s="11" t="s">
        <v>485</v>
      </c>
    </row>
    <row r="9" spans="1:6">
      <c r="A9" s="2" t="s">
        <v>486</v>
      </c>
      <c r="B9" s="2" t="s">
        <v>487</v>
      </c>
    </row>
    <row r="10" spans="1:6">
      <c r="A10" s="2" t="s">
        <v>488</v>
      </c>
      <c r="B10" s="2" t="s">
        <v>489</v>
      </c>
      <c r="C10" s="2" t="s">
        <v>490</v>
      </c>
    </row>
    <row r="13" spans="1:6">
      <c r="C13" s="45" t="s">
        <v>491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workbookViewId="0">
      <selection activeCell="E20" sqref="E20"/>
    </sheetView>
  </sheetViews>
  <sheetFormatPr defaultRowHeight="12.75"/>
  <cols>
    <col min="1" max="1" width="13.875" bestFit="1" customWidth="1"/>
    <col min="2" max="2" width="34.75" bestFit="1" customWidth="1"/>
    <col min="3" max="3" width="20.125" bestFit="1" customWidth="1"/>
    <col min="5" max="5" width="63" bestFit="1" customWidth="1"/>
  </cols>
  <sheetData>
    <row r="1" spans="1:6">
      <c r="A1" s="1" t="s">
        <v>0</v>
      </c>
      <c r="B1" s="1" t="s">
        <v>1</v>
      </c>
      <c r="C1" s="1" t="s">
        <v>2</v>
      </c>
      <c r="D1" s="1" t="s">
        <v>3</v>
      </c>
      <c r="E1" s="1" t="s">
        <v>4</v>
      </c>
      <c r="F1" s="1" t="s">
        <v>170</v>
      </c>
    </row>
    <row r="2" spans="1:6">
      <c r="A2" t="s">
        <v>492</v>
      </c>
      <c r="B2" t="s">
        <v>493</v>
      </c>
      <c r="C2" t="s">
        <v>494</v>
      </c>
      <c r="E2" t="s">
        <v>495</v>
      </c>
      <c r="F2" t="s">
        <v>493</v>
      </c>
    </row>
    <row r="3" spans="1:6">
      <c r="A3" t="s">
        <v>496</v>
      </c>
      <c r="B3" t="s">
        <v>497</v>
      </c>
      <c r="C3" t="s">
        <v>494</v>
      </c>
      <c r="E3" t="s">
        <v>498</v>
      </c>
      <c r="F3" t="s">
        <v>499</v>
      </c>
    </row>
    <row r="4" spans="1:6">
      <c r="A4" t="s">
        <v>500</v>
      </c>
      <c r="B4" t="s">
        <v>501</v>
      </c>
      <c r="C4" t="s">
        <v>494</v>
      </c>
      <c r="E4" t="s">
        <v>502</v>
      </c>
      <c r="F4" t="s">
        <v>503</v>
      </c>
    </row>
    <row r="5" spans="1:6">
      <c r="A5" t="s">
        <v>504</v>
      </c>
      <c r="B5" t="s">
        <v>505</v>
      </c>
      <c r="C5" t="s">
        <v>494</v>
      </c>
      <c r="E5" t="s">
        <v>506</v>
      </c>
      <c r="F5" t="s">
        <v>505</v>
      </c>
    </row>
    <row r="6" spans="1:6">
      <c r="A6" t="s">
        <v>507</v>
      </c>
      <c r="B6" t="s">
        <v>508</v>
      </c>
      <c r="C6" t="s">
        <v>494</v>
      </c>
      <c r="E6" t="s">
        <v>509</v>
      </c>
      <c r="F6" t="s">
        <v>510</v>
      </c>
    </row>
    <row r="7" spans="1:6">
      <c r="A7" t="s">
        <v>511</v>
      </c>
      <c r="B7" t="s">
        <v>512</v>
      </c>
      <c r="C7" t="s">
        <v>494</v>
      </c>
      <c r="E7" t="s">
        <v>513</v>
      </c>
      <c r="F7" t="s">
        <v>512</v>
      </c>
    </row>
    <row r="8" spans="1:6">
      <c r="A8" t="s">
        <v>514</v>
      </c>
      <c r="B8" t="s">
        <v>515</v>
      </c>
      <c r="C8" t="s">
        <v>494</v>
      </c>
      <c r="E8" t="s">
        <v>516</v>
      </c>
      <c r="F8" t="s">
        <v>515</v>
      </c>
    </row>
    <row r="9" spans="1:6">
      <c r="A9" t="s">
        <v>517</v>
      </c>
      <c r="B9" t="s">
        <v>518</v>
      </c>
      <c r="C9" t="s">
        <v>494</v>
      </c>
      <c r="E9" t="s">
        <v>519</v>
      </c>
      <c r="F9" t="s">
        <v>520</v>
      </c>
    </row>
    <row r="10" spans="1:6">
      <c r="A10" t="s">
        <v>521</v>
      </c>
      <c r="B10" t="s">
        <v>522</v>
      </c>
      <c r="C10" t="s">
        <v>494</v>
      </c>
      <c r="E10" t="s">
        <v>523</v>
      </c>
      <c r="F10" t="s">
        <v>524</v>
      </c>
    </row>
    <row r="11" spans="1:6">
      <c r="A11" t="s">
        <v>525</v>
      </c>
      <c r="B11" t="s">
        <v>526</v>
      </c>
      <c r="C11" t="s">
        <v>494</v>
      </c>
      <c r="E11" t="s">
        <v>527</v>
      </c>
      <c r="F11" t="s">
        <v>528</v>
      </c>
    </row>
    <row r="12" spans="1:6">
      <c r="A12" t="s">
        <v>529</v>
      </c>
      <c r="B12" t="s">
        <v>530</v>
      </c>
      <c r="C12" t="s">
        <v>494</v>
      </c>
      <c r="E12" t="s">
        <v>531</v>
      </c>
      <c r="F12" t="s">
        <v>530</v>
      </c>
    </row>
    <row r="13" spans="1:6">
      <c r="A13" t="s">
        <v>532</v>
      </c>
      <c r="B13" t="s">
        <v>533</v>
      </c>
      <c r="C13" t="s">
        <v>494</v>
      </c>
      <c r="E13" t="s">
        <v>534</v>
      </c>
      <c r="F13" t="s">
        <v>533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7"/>
  <sheetViews>
    <sheetView zoomScaleNormal="100" workbookViewId="0">
      <selection activeCell="B5" sqref="B5"/>
    </sheetView>
  </sheetViews>
  <sheetFormatPr defaultRowHeight="15"/>
  <cols>
    <col min="1" max="1" width="14.375" style="8" bestFit="1" customWidth="1"/>
    <col min="2" max="2" width="58.5" style="8" bestFit="1" customWidth="1"/>
    <col min="3" max="3" width="31.5" style="8" bestFit="1" customWidth="1"/>
    <col min="4" max="4" width="9" style="8"/>
    <col min="5" max="5" width="74.625" style="8" bestFit="1" customWidth="1"/>
    <col min="6" max="6" width="65.25" style="8" bestFit="1" customWidth="1"/>
    <col min="7" max="16384" width="9" style="8"/>
  </cols>
  <sheetData>
    <row r="1" spans="1:7">
      <c r="A1" s="29" t="s">
        <v>415</v>
      </c>
      <c r="B1" s="29" t="s">
        <v>1</v>
      </c>
      <c r="C1" s="29" t="s">
        <v>2</v>
      </c>
      <c r="D1" s="29" t="s">
        <v>3</v>
      </c>
      <c r="E1" s="30" t="s">
        <v>4</v>
      </c>
      <c r="F1" s="30" t="s">
        <v>5</v>
      </c>
      <c r="G1" s="29" t="s">
        <v>169</v>
      </c>
    </row>
    <row r="2" spans="1:7">
      <c r="A2" s="27" t="s">
        <v>535</v>
      </c>
      <c r="B2" s="8" t="s">
        <v>536</v>
      </c>
      <c r="C2" s="8" t="s">
        <v>537</v>
      </c>
      <c r="E2" s="27" t="s">
        <v>538</v>
      </c>
      <c r="F2" s="27" t="s">
        <v>536</v>
      </c>
      <c r="G2" s="8" t="s">
        <v>539</v>
      </c>
    </row>
    <row r="3" spans="1:7">
      <c r="A3" s="27" t="s">
        <v>540</v>
      </c>
      <c r="B3" s="8" t="s">
        <v>541</v>
      </c>
      <c r="D3" s="8" t="s">
        <v>234</v>
      </c>
      <c r="E3" s="27" t="s">
        <v>542</v>
      </c>
      <c r="F3" s="27" t="s">
        <v>543</v>
      </c>
    </row>
    <row r="4" spans="1:7">
      <c r="A4" s="27" t="s">
        <v>544</v>
      </c>
      <c r="B4" s="9" t="s">
        <v>545</v>
      </c>
      <c r="C4" s="8" t="s">
        <v>546</v>
      </c>
      <c r="E4" s="27" t="s">
        <v>547</v>
      </c>
      <c r="F4" s="28" t="s">
        <v>548</v>
      </c>
    </row>
    <row r="5" spans="1:7">
      <c r="A5" s="27" t="s">
        <v>549</v>
      </c>
      <c r="B5" s="9" t="s">
        <v>550</v>
      </c>
      <c r="C5" s="8" t="s">
        <v>546</v>
      </c>
      <c r="E5" s="27" t="s">
        <v>551</v>
      </c>
      <c r="F5" s="28" t="s">
        <v>552</v>
      </c>
    </row>
    <row r="6" spans="1:7">
      <c r="A6" s="27" t="s">
        <v>553</v>
      </c>
      <c r="B6" s="9" t="s">
        <v>554</v>
      </c>
      <c r="C6" s="8" t="s">
        <v>546</v>
      </c>
      <c r="E6" s="28" t="s">
        <v>555</v>
      </c>
      <c r="F6" s="28" t="s">
        <v>556</v>
      </c>
    </row>
    <row r="7" spans="1:7">
      <c r="A7" s="27" t="s">
        <v>557</v>
      </c>
      <c r="B7" s="9" t="s">
        <v>558</v>
      </c>
      <c r="C7" s="8" t="s">
        <v>546</v>
      </c>
      <c r="E7" s="27" t="s">
        <v>559</v>
      </c>
      <c r="F7" s="28" t="s">
        <v>560</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2"/>
  <sheetViews>
    <sheetView topLeftCell="A7" workbookViewId="0">
      <selection activeCell="B18" sqref="B18"/>
    </sheetView>
  </sheetViews>
  <sheetFormatPr defaultRowHeight="12.75"/>
  <cols>
    <col min="1" max="1" width="14.375" bestFit="1" customWidth="1"/>
    <col min="2" max="2" width="63.125" customWidth="1"/>
    <col min="3" max="3" width="60.375" bestFit="1" customWidth="1"/>
    <col min="6" max="6" width="54.75" customWidth="1"/>
    <col min="7" max="7" width="36.75" customWidth="1"/>
  </cols>
  <sheetData>
    <row r="1" spans="1:7">
      <c r="A1" s="1" t="s">
        <v>415</v>
      </c>
      <c r="B1" s="1" t="s">
        <v>1</v>
      </c>
      <c r="C1" s="1" t="s">
        <v>2</v>
      </c>
      <c r="D1" s="1" t="s">
        <v>3</v>
      </c>
      <c r="E1" s="1" t="s">
        <v>561</v>
      </c>
      <c r="F1" s="1" t="s">
        <v>168</v>
      </c>
      <c r="G1" s="1" t="s">
        <v>170</v>
      </c>
    </row>
    <row r="2" spans="1:7" ht="30">
      <c r="A2" s="4" t="s">
        <v>562</v>
      </c>
      <c r="B2" t="s">
        <v>563</v>
      </c>
      <c r="C2" s="4" t="s">
        <v>564</v>
      </c>
      <c r="D2" s="4"/>
      <c r="F2" s="37" t="s">
        <v>565</v>
      </c>
      <c r="G2" t="s">
        <v>566</v>
      </c>
    </row>
    <row r="3" spans="1:7" ht="38.25">
      <c r="A3" s="4" t="s">
        <v>567</v>
      </c>
      <c r="B3" s="5" t="s">
        <v>568</v>
      </c>
      <c r="C3" s="4" t="s">
        <v>564</v>
      </c>
      <c r="D3" s="4"/>
      <c r="F3" s="37" t="s">
        <v>569</v>
      </c>
      <c r="G3" s="5" t="s">
        <v>570</v>
      </c>
    </row>
    <row r="4" spans="1:7" ht="45">
      <c r="A4" s="4" t="s">
        <v>571</v>
      </c>
      <c r="B4" s="5" t="s">
        <v>572</v>
      </c>
      <c r="C4" s="4" t="s">
        <v>564</v>
      </c>
      <c r="D4" s="4"/>
      <c r="F4" s="37" t="s">
        <v>573</v>
      </c>
      <c r="G4" s="5" t="s">
        <v>574</v>
      </c>
    </row>
    <row r="5" spans="1:7" ht="25.5">
      <c r="A5" s="4" t="s">
        <v>575</v>
      </c>
      <c r="B5" s="5" t="s">
        <v>576</v>
      </c>
      <c r="C5" s="4" t="s">
        <v>564</v>
      </c>
      <c r="D5" s="4"/>
      <c r="F5" s="37" t="s">
        <v>577</v>
      </c>
      <c r="G5" s="5" t="s">
        <v>578</v>
      </c>
    </row>
    <row r="6" spans="1:7" ht="38.25">
      <c r="A6" s="4" t="s">
        <v>579</v>
      </c>
      <c r="B6" s="5" t="s">
        <v>580</v>
      </c>
      <c r="C6" s="4" t="s">
        <v>564</v>
      </c>
      <c r="D6" s="4"/>
      <c r="F6" s="37" t="s">
        <v>581</v>
      </c>
      <c r="G6" s="5" t="s">
        <v>582</v>
      </c>
    </row>
    <row r="7" spans="1:7" ht="38.25">
      <c r="A7" s="4" t="s">
        <v>583</v>
      </c>
      <c r="B7" s="5" t="s">
        <v>584</v>
      </c>
      <c r="C7" s="4" t="s">
        <v>564</v>
      </c>
      <c r="D7" s="6"/>
      <c r="F7" s="37" t="s">
        <v>585</v>
      </c>
      <c r="G7" s="5" t="s">
        <v>586</v>
      </c>
    </row>
    <row r="8" spans="1:7" ht="38.25">
      <c r="A8" s="4" t="s">
        <v>587</v>
      </c>
      <c r="B8" s="5" t="s">
        <v>588</v>
      </c>
      <c r="C8" s="4" t="s">
        <v>564</v>
      </c>
      <c r="D8" s="6"/>
      <c r="F8" s="37" t="s">
        <v>589</v>
      </c>
      <c r="G8" s="5" t="s">
        <v>590</v>
      </c>
    </row>
    <row r="9" spans="1:7" ht="25.5">
      <c r="A9" s="4" t="s">
        <v>591</v>
      </c>
      <c r="B9" s="5" t="s">
        <v>592</v>
      </c>
      <c r="C9" s="4" t="s">
        <v>564</v>
      </c>
      <c r="D9" s="6"/>
      <c r="F9" s="37" t="s">
        <v>593</v>
      </c>
      <c r="G9" s="5" t="s">
        <v>594</v>
      </c>
    </row>
    <row r="10" spans="1:7" ht="30">
      <c r="A10" s="4" t="s">
        <v>595</v>
      </c>
      <c r="B10" s="5" t="s">
        <v>596</v>
      </c>
      <c r="C10" s="4" t="s">
        <v>564</v>
      </c>
      <c r="D10" s="6"/>
      <c r="F10" s="37" t="s">
        <v>597</v>
      </c>
      <c r="G10" s="5" t="s">
        <v>598</v>
      </c>
    </row>
    <row r="11" spans="1:7" ht="30">
      <c r="A11" s="4" t="s">
        <v>599</v>
      </c>
      <c r="B11" s="5" t="s">
        <v>600</v>
      </c>
      <c r="C11" s="4" t="s">
        <v>564</v>
      </c>
      <c r="D11" s="6"/>
      <c r="F11" s="37" t="s">
        <v>601</v>
      </c>
      <c r="G11" s="5" t="s">
        <v>602</v>
      </c>
    </row>
    <row r="12" spans="1:7" ht="25.5">
      <c r="A12" s="4" t="s">
        <v>603</v>
      </c>
      <c r="B12" s="5" t="s">
        <v>604</v>
      </c>
      <c r="C12" s="4" t="s">
        <v>564</v>
      </c>
      <c r="D12" s="6"/>
      <c r="F12" s="37" t="s">
        <v>605</v>
      </c>
      <c r="G12" s="5" t="s">
        <v>606</v>
      </c>
    </row>
    <row r="13" spans="1:7" ht="30">
      <c r="A13" s="4" t="s">
        <v>607</v>
      </c>
      <c r="B13" s="5" t="s">
        <v>608</v>
      </c>
      <c r="C13" s="4" t="s">
        <v>564</v>
      </c>
      <c r="D13" s="6"/>
      <c r="F13" s="37" t="s">
        <v>609</v>
      </c>
      <c r="G13" s="5" t="s">
        <v>610</v>
      </c>
    </row>
    <row r="14" spans="1:7" ht="38.25">
      <c r="A14" s="4" t="s">
        <v>611</v>
      </c>
      <c r="B14" s="5" t="s">
        <v>612</v>
      </c>
      <c r="C14" s="4" t="s">
        <v>564</v>
      </c>
      <c r="D14" s="6"/>
      <c r="F14" s="37" t="s">
        <v>613</v>
      </c>
      <c r="G14" s="5" t="s">
        <v>614</v>
      </c>
    </row>
    <row r="18" spans="3:3">
      <c r="C18" s="46" t="s">
        <v>615</v>
      </c>
    </row>
    <row r="19" spans="3:3">
      <c r="C19" s="7"/>
    </row>
    <row r="20" spans="3:3">
      <c r="C20" s="7"/>
    </row>
    <row r="21" spans="3:3">
      <c r="C21" s="7"/>
    </row>
    <row r="22" spans="3:3">
      <c r="C22" s="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topLeftCell="B1" zoomScaleNormal="100" workbookViewId="0">
      <selection activeCell="C41" sqref="C41"/>
    </sheetView>
  </sheetViews>
  <sheetFormatPr defaultRowHeight="12.75"/>
  <cols>
    <col min="1" max="1" width="14.375" bestFit="1" customWidth="1"/>
    <col min="2" max="2" width="42.75" customWidth="1"/>
    <col min="3" max="3" width="96.125" bestFit="1" customWidth="1"/>
    <col min="5" max="5" width="69.625" bestFit="1" customWidth="1"/>
  </cols>
  <sheetData>
    <row r="1" spans="1:6">
      <c r="A1" s="1" t="s">
        <v>0</v>
      </c>
      <c r="B1" s="1" t="s">
        <v>1</v>
      </c>
      <c r="C1" s="1" t="s">
        <v>2</v>
      </c>
      <c r="D1" s="1" t="s">
        <v>3</v>
      </c>
      <c r="E1" s="1" t="s">
        <v>4</v>
      </c>
      <c r="F1" s="1" t="s">
        <v>170</v>
      </c>
    </row>
    <row r="2" spans="1:6" ht="15">
      <c r="A2" s="2" t="s">
        <v>616</v>
      </c>
      <c r="B2" s="3" t="s">
        <v>617</v>
      </c>
      <c r="C2" s="2" t="s">
        <v>618</v>
      </c>
      <c r="D2" s="2"/>
      <c r="E2" s="13" t="s">
        <v>619</v>
      </c>
      <c r="F2" s="25" t="s">
        <v>620</v>
      </c>
    </row>
    <row r="3" spans="1:6" ht="15">
      <c r="A3" s="2" t="s">
        <v>621</v>
      </c>
      <c r="B3" s="3" t="s">
        <v>622</v>
      </c>
      <c r="C3" s="2" t="s">
        <v>618</v>
      </c>
      <c r="D3" s="2"/>
      <c r="E3" s="13" t="s">
        <v>623</v>
      </c>
      <c r="F3" s="25" t="s">
        <v>624</v>
      </c>
    </row>
    <row r="4" spans="1:6" ht="15">
      <c r="A4" s="2" t="s">
        <v>625</v>
      </c>
      <c r="B4" s="3" t="s">
        <v>626</v>
      </c>
      <c r="C4" s="2" t="s">
        <v>618</v>
      </c>
      <c r="D4" s="2"/>
      <c r="E4" s="13" t="s">
        <v>627</v>
      </c>
      <c r="F4" s="25" t="s">
        <v>628</v>
      </c>
    </row>
    <row r="5" spans="1:6" ht="15">
      <c r="A5" s="2" t="s">
        <v>629</v>
      </c>
      <c r="B5" s="3" t="s">
        <v>630</v>
      </c>
      <c r="C5" s="2" t="s">
        <v>618</v>
      </c>
      <c r="D5" s="2"/>
      <c r="E5" s="13" t="s">
        <v>631</v>
      </c>
      <c r="F5" s="25" t="s">
        <v>632</v>
      </c>
    </row>
    <row r="6" spans="1:6" ht="15">
      <c r="A6" s="2" t="s">
        <v>633</v>
      </c>
      <c r="B6" s="3" t="s">
        <v>634</v>
      </c>
      <c r="C6" s="2" t="s">
        <v>618</v>
      </c>
      <c r="D6" s="2"/>
      <c r="E6" s="13" t="s">
        <v>635</v>
      </c>
      <c r="F6" s="25" t="s">
        <v>634</v>
      </c>
    </row>
    <row r="7" spans="1:6">
      <c r="A7" t="s">
        <v>636</v>
      </c>
      <c r="B7" t="s">
        <v>637</v>
      </c>
    </row>
    <row r="8" spans="1:6">
      <c r="A8" t="s">
        <v>638</v>
      </c>
      <c r="B8" t="s">
        <v>639</v>
      </c>
      <c r="C8" t="s">
        <v>640</v>
      </c>
    </row>
    <row r="13" spans="1:6">
      <c r="C13" s="45"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Region Midtjylland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Kasper Norman</dc:creator>
  <cp:keywords/>
  <dc:description/>
  <cp:lastModifiedBy>Cecilie Sonne Lindberg</cp:lastModifiedBy>
  <cp:revision/>
  <dcterms:created xsi:type="dcterms:W3CDTF">2021-03-23T13:16:35Z</dcterms:created>
  <dcterms:modified xsi:type="dcterms:W3CDTF">2025-02-21T12:02:42Z</dcterms:modified>
  <cp:category/>
  <cp:contentStatus/>
</cp:coreProperties>
</file>